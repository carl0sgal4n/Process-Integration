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Entradas" sheetId="2" r:id="rId2"/>
    <sheet name="Matriz_Q" sheetId="3" r:id="rId3"/>
    <sheet name="Equipos" sheetId="4" r:id="rId4"/>
    <sheet name="Cascada" sheetId="5" r:id="rId5"/>
    <sheet name="Compuestas" sheetId="6" r:id="rId6"/>
    <sheet name="Tramos_red" sheetId="7" r:id="rId7"/>
    <sheet name="Sensibilidad" sheetId="8" r:id="rId8"/>
    <sheet name="Guia" sheetId="9" r:id="rId9"/>
  </sheets>
  <definedNames>
    <definedName name="_xlnm._FilterDatabase" localSheetId="1" hidden="1">Entradas!$A$10:$K$14</definedName>
    <definedName name="_xlnm._FilterDatabase" localSheetId="3" hidden="1">Equipos!$A$3:$Q$183</definedName>
    <definedName name="_xlnm._FilterDatabase" localSheetId="6" hidden="1">Tramos_red!$A$3:$AA$18</definedName>
    <definedName name="_xlnm.Print_Area" localSheetId="4">Cascada!$A$1:$M$11</definedName>
    <definedName name="_xlnm.Print_Area" localSheetId="5">Compuestas!$A$1:$O$11</definedName>
    <definedName name="_xlnm.Print_Area" localSheetId="1">Entradas!$A$1:$K$15</definedName>
    <definedName name="_xlnm.Print_Area" localSheetId="3">Equipos!$A$1:$Q$183</definedName>
    <definedName name="_xlnm.Print_Area" localSheetId="8">Guia!$A$1:$H$40</definedName>
    <definedName name="_xlnm.Print_Area" localSheetId="2">Matriz_Q!$A$1:$I$8</definedName>
    <definedName name="_xlnm.Print_Area" localSheetId="0">Resumen!$A$1:$V$61</definedName>
    <definedName name="_xlnm.Print_Area" localSheetId="7">Sensibilidad!$A$1:$P$33</definedName>
    <definedName name="_xlnm.Print_Area" localSheetId="6">Tramos_red!$A$1:$S$19</definedName>
  </definedNames>
  <calcPr calcId="124519" fullCalcOnLoad="1"/>
</workbook>
</file>

<file path=xl/sharedStrings.xml><?xml version="1.0" encoding="utf-8"?>
<sst xmlns="http://schemas.openxmlformats.org/spreadsheetml/2006/main" count="439" uniqueCount="349">
  <si>
    <t>Datos del proceso</t>
  </si>
  <si>
    <t>Edita las celdas azules. CP = caudal × calor específico. Unidades originales del PDF.</t>
  </si>
  <si>
    <t>ΔT mínimo (K)</t>
  </si>
  <si>
    <t>U (kJ/h·m²·K)</t>
  </si>
  <si>
    <t>U=0: área sin calcular. U no viene en el PDF; introduce tu hipótesis si la conoces.</t>
  </si>
  <si>
    <t>Fuente: PDF aportado · Synthesis of Heat Exchanger Networks · diapositivas 27 y 30. H1/H2/C3/C4 corresponden a 1/2/3/4.</t>
  </si>
  <si>
    <t>ID</t>
  </si>
  <si>
    <t>CP (kJ/h·K)</t>
  </si>
  <si>
    <t>Tin (°C)</t>
  </si>
  <si>
    <t>Tout (°C)</t>
  </si>
  <si>
    <t>Tipo calculado</t>
  </si>
  <si>
    <t>|Q| (kJ/h)</t>
  </si>
  <si>
    <t>Q con signo</t>
  </si>
  <si>
    <t>T baja</t>
  </si>
  <si>
    <t>T alta</t>
  </si>
  <si>
    <t>T* baja</t>
  </si>
  <si>
    <t>T* alta</t>
  </si>
  <si>
    <t>H1</t>
  </si>
  <si>
    <t>H2</t>
  </si>
  <si>
    <t>C3</t>
  </si>
  <si>
    <t>C4</t>
  </si>
  <si>
    <t>Tabla de intervalos y cascada</t>
  </si>
  <si>
    <t>T*hot=T−ΔTmin/2; T*cold=T+ΔTmin/2. Los intervalos repetidos tienen anchura cero.</t>
  </si>
  <si>
    <t>T* sin ordenar</t>
  </si>
  <si>
    <t>T* descendente</t>
  </si>
  <si>
    <t>ΔT intervalo</t>
  </si>
  <si>
    <t>ΣCP hot</t>
  </si>
  <si>
    <t>ΣCP cold</t>
  </si>
  <si>
    <t>CP neto</t>
  </si>
  <si>
    <t>ΔH intervalo</t>
  </si>
  <si>
    <t>Residual bruto</t>
  </si>
  <si>
    <t>Residual ajustado</t>
  </si>
  <si>
    <t>T* pinch</t>
  </si>
  <si>
    <t>Th pinch</t>
  </si>
  <si>
    <t>Tc pinch</t>
  </si>
  <si>
    <t>Posición</t>
  </si>
  <si>
    <t>Integración de las curvas compuestas</t>
  </si>
  <si>
    <t>Hhot inicia en 0. Hcold se desplaza QCmin. Segmentos verticales interiores indican huecos sin carga.</t>
  </si>
  <si>
    <t>T sin ordenar</t>
  </si>
  <si>
    <t>T ascendente</t>
  </si>
  <si>
    <t>T media</t>
  </si>
  <si>
    <t>ΔH hot</t>
  </si>
  <si>
    <t>ΔH cold</t>
  </si>
  <si>
    <t>H hot</t>
  </si>
  <si>
    <t>H cold origen</t>
  </si>
  <si>
    <t>H cold ajustada</t>
  </si>
  <si>
    <t>T hot gráfico</t>
  </si>
  <si>
    <t>T cold gráfico</t>
  </si>
  <si>
    <t>T* hot</t>
  </si>
  <si>
    <t>T* cold</t>
  </si>
  <si>
    <t>Índice tramo</t>
  </si>
  <si>
    <t>Tramos de intercambio y división de corrientes</t>
  </si>
  <si>
    <t>Cada tramo tiene un intervalo de temperaturas caliente y frío. Las fracciones CP definen las ramas.</t>
  </si>
  <si>
    <t>H sin ordenar</t>
  </si>
  <si>
    <t>H ordenada</t>
  </si>
  <si>
    <t>ΔH tramo</t>
  </si>
  <si>
    <t>H media</t>
  </si>
  <si>
    <t>Índice hot</t>
  </si>
  <si>
    <t>Índice cold</t>
  </si>
  <si>
    <t>CP hot</t>
  </si>
  <si>
    <t>CP cold</t>
  </si>
  <si>
    <t>Th baja</t>
  </si>
  <si>
    <t>Th alta</t>
  </si>
  <si>
    <t>Tc baja</t>
  </si>
  <si>
    <t>Tc alta</t>
  </si>
  <si>
    <t>Q proceso</t>
  </si>
  <si>
    <t>Q refrigeración</t>
  </si>
  <si>
    <t>Q calentamiento</t>
  </si>
  <si>
    <t>ΔT extremo 1</t>
  </si>
  <si>
    <t>ΔT extremo 2</t>
  </si>
  <si>
    <t>ΔT log media</t>
  </si>
  <si>
    <t>Área proceso</t>
  </si>
  <si>
    <t>fh H1</t>
  </si>
  <si>
    <t>fh H2</t>
  </si>
  <si>
    <t>fh C3</t>
  </si>
  <si>
    <t>fh C4</t>
  </si>
  <si>
    <t>fc H1</t>
  </si>
  <si>
    <t>fc H2</t>
  </si>
  <si>
    <t>fc C3</t>
  </si>
  <si>
    <t>fc C4</t>
  </si>
  <si>
    <t>Intercambios entre corrientes</t>
  </si>
  <si>
    <t>Q en kJ/h. Filas: donantes calientes. Columnas: receptoras frías. La matriz suma todos los tramos.</t>
  </si>
  <si>
    <t>Donante / receptora</t>
  </si>
  <si>
    <t>Refrigeración</t>
  </si>
  <si>
    <t>Calentamiento</t>
  </si>
  <si>
    <t>|Q| corriente</t>
  </si>
  <si>
    <t>Error balance</t>
  </si>
  <si>
    <t>Intercambiadores de ramas</t>
  </si>
  <si>
    <t>Filtra Q &gt; 0 para ver los equipos activos. Si cambias entradas, vuelve a aplicar el filtro. Las fracciones se refieren a cada corriente original.</t>
  </si>
  <si>
    <t>ID candidato</t>
  </si>
  <si>
    <t>Tramo</t>
  </si>
  <si>
    <t>Caliente</t>
  </si>
  <si>
    <t>Fría</t>
  </si>
  <si>
    <t>Q (kJ/h)</t>
  </si>
  <si>
    <t>Th entrada</t>
  </si>
  <si>
    <t>Th salida</t>
  </si>
  <si>
    <t>Tc entrada</t>
  </si>
  <si>
    <t>Tc salida</t>
  </si>
  <si>
    <t>Rama hot</t>
  </si>
  <si>
    <t>Rama cold</t>
  </si>
  <si>
    <t>CP rama hot</t>
  </si>
  <si>
    <t>CP rama cold</t>
  </si>
  <si>
    <t>Área (m²)</t>
  </si>
  <si>
    <t>B1-P1-2</t>
  </si>
  <si>
    <t>B1-P1-3</t>
  </si>
  <si>
    <t>B1-P1-4</t>
  </si>
  <si>
    <t>B1-P2-1</t>
  </si>
  <si>
    <t>B1-P2-3</t>
  </si>
  <si>
    <t>B1-P2-4</t>
  </si>
  <si>
    <t>B1-P3-1</t>
  </si>
  <si>
    <t>B1-P3-2</t>
  </si>
  <si>
    <t>B1-P3-4</t>
  </si>
  <si>
    <t>B1-P4-1</t>
  </si>
  <si>
    <t>B1-P4-2</t>
  </si>
  <si>
    <t>B1-P4-3</t>
  </si>
  <si>
    <t>B2-P1-2</t>
  </si>
  <si>
    <t>B2-P1-3</t>
  </si>
  <si>
    <t>B2-P1-4</t>
  </si>
  <si>
    <t>B2-P2-1</t>
  </si>
  <si>
    <t>B2-P2-3</t>
  </si>
  <si>
    <t>B2-P2-4</t>
  </si>
  <si>
    <t>B2-P3-1</t>
  </si>
  <si>
    <t>B2-P3-2</t>
  </si>
  <si>
    <t>B2-P3-4</t>
  </si>
  <si>
    <t>B2-P4-1</t>
  </si>
  <si>
    <t>B2-P4-2</t>
  </si>
  <si>
    <t>B2-P4-3</t>
  </si>
  <si>
    <t>B3-P1-2</t>
  </si>
  <si>
    <t>B3-P1-3</t>
  </si>
  <si>
    <t>B3-P1-4</t>
  </si>
  <si>
    <t>B3-P2-1</t>
  </si>
  <si>
    <t>B3-P2-3</t>
  </si>
  <si>
    <t>B3-P2-4</t>
  </si>
  <si>
    <t>B3-P3-1</t>
  </si>
  <si>
    <t>B3-P3-2</t>
  </si>
  <si>
    <t>B3-P3-4</t>
  </si>
  <si>
    <t>B3-P4-1</t>
  </si>
  <si>
    <t>B3-P4-2</t>
  </si>
  <si>
    <t>B3-P4-3</t>
  </si>
  <si>
    <t>B4-P1-2</t>
  </si>
  <si>
    <t>B4-P1-3</t>
  </si>
  <si>
    <t>B4-P1-4</t>
  </si>
  <si>
    <t>B4-P2-1</t>
  </si>
  <si>
    <t>B4-P2-3</t>
  </si>
  <si>
    <t>B4-P2-4</t>
  </si>
  <si>
    <t>B4-P3-1</t>
  </si>
  <si>
    <t>B4-P3-2</t>
  </si>
  <si>
    <t>B4-P3-4</t>
  </si>
  <si>
    <t>B4-P4-1</t>
  </si>
  <si>
    <t>B4-P4-2</t>
  </si>
  <si>
    <t>B4-P4-3</t>
  </si>
  <si>
    <t>B5-P1-2</t>
  </si>
  <si>
    <t>B5-P1-3</t>
  </si>
  <si>
    <t>B5-P1-4</t>
  </si>
  <si>
    <t>B5-P2-1</t>
  </si>
  <si>
    <t>B5-P2-3</t>
  </si>
  <si>
    <t>B5-P2-4</t>
  </si>
  <si>
    <t>B5-P3-1</t>
  </si>
  <si>
    <t>B5-P3-2</t>
  </si>
  <si>
    <t>B5-P3-4</t>
  </si>
  <si>
    <t>B5-P4-1</t>
  </si>
  <si>
    <t>B5-P4-2</t>
  </si>
  <si>
    <t>B5-P4-3</t>
  </si>
  <si>
    <t>B6-P1-2</t>
  </si>
  <si>
    <t>B6-P1-3</t>
  </si>
  <si>
    <t>B6-P1-4</t>
  </si>
  <si>
    <t>B6-P2-1</t>
  </si>
  <si>
    <t>B6-P2-3</t>
  </si>
  <si>
    <t>B6-P2-4</t>
  </si>
  <si>
    <t>B6-P3-1</t>
  </si>
  <si>
    <t>B6-P3-2</t>
  </si>
  <si>
    <t>B6-P3-4</t>
  </si>
  <si>
    <t>B6-P4-1</t>
  </si>
  <si>
    <t>B6-P4-2</t>
  </si>
  <si>
    <t>B6-P4-3</t>
  </si>
  <si>
    <t>B7-P1-2</t>
  </si>
  <si>
    <t>B7-P1-3</t>
  </si>
  <si>
    <t>B7-P1-4</t>
  </si>
  <si>
    <t>B7-P2-1</t>
  </si>
  <si>
    <t>B7-P2-3</t>
  </si>
  <si>
    <t>B7-P2-4</t>
  </si>
  <si>
    <t>B7-P3-1</t>
  </si>
  <si>
    <t>B7-P3-2</t>
  </si>
  <si>
    <t>B7-P3-4</t>
  </si>
  <si>
    <t>B7-P4-1</t>
  </si>
  <si>
    <t>B7-P4-2</t>
  </si>
  <si>
    <t>B7-P4-3</t>
  </si>
  <si>
    <t>B8-P1-2</t>
  </si>
  <si>
    <t>B8-P1-3</t>
  </si>
  <si>
    <t>B8-P1-4</t>
  </si>
  <si>
    <t>B8-P2-1</t>
  </si>
  <si>
    <t>B8-P2-3</t>
  </si>
  <si>
    <t>B8-P2-4</t>
  </si>
  <si>
    <t>B8-P3-1</t>
  </si>
  <si>
    <t>B8-P3-2</t>
  </si>
  <si>
    <t>B8-P3-4</t>
  </si>
  <si>
    <t>B8-P4-1</t>
  </si>
  <si>
    <t>B8-P4-2</t>
  </si>
  <si>
    <t>B8-P4-3</t>
  </si>
  <si>
    <t>B9-P1-2</t>
  </si>
  <si>
    <t>B9-P1-3</t>
  </si>
  <si>
    <t>B9-P1-4</t>
  </si>
  <si>
    <t>B9-P2-1</t>
  </si>
  <si>
    <t>B9-P2-3</t>
  </si>
  <si>
    <t>B9-P2-4</t>
  </si>
  <si>
    <t>B9-P3-1</t>
  </si>
  <si>
    <t>B9-P3-2</t>
  </si>
  <si>
    <t>B9-P3-4</t>
  </si>
  <si>
    <t>B9-P4-1</t>
  </si>
  <si>
    <t>B9-P4-2</t>
  </si>
  <si>
    <t>B9-P4-3</t>
  </si>
  <si>
    <t>B10-P1-2</t>
  </si>
  <si>
    <t>B10-P1-3</t>
  </si>
  <si>
    <t>B10-P1-4</t>
  </si>
  <si>
    <t>B10-P2-1</t>
  </si>
  <si>
    <t>B10-P2-3</t>
  </si>
  <si>
    <t>B10-P2-4</t>
  </si>
  <si>
    <t>B10-P3-1</t>
  </si>
  <si>
    <t>B10-P3-2</t>
  </si>
  <si>
    <t>B10-P3-4</t>
  </si>
  <si>
    <t>B10-P4-1</t>
  </si>
  <si>
    <t>B10-P4-2</t>
  </si>
  <si>
    <t>B10-P4-3</t>
  </si>
  <si>
    <t>B11-P1-2</t>
  </si>
  <si>
    <t>B11-P1-3</t>
  </si>
  <si>
    <t>B11-P1-4</t>
  </si>
  <si>
    <t>B11-P2-1</t>
  </si>
  <si>
    <t>B11-P2-3</t>
  </si>
  <si>
    <t>B11-P2-4</t>
  </si>
  <si>
    <t>B11-P3-1</t>
  </si>
  <si>
    <t>B11-P3-2</t>
  </si>
  <si>
    <t>B11-P3-4</t>
  </si>
  <si>
    <t>B11-P4-1</t>
  </si>
  <si>
    <t>B11-P4-2</t>
  </si>
  <si>
    <t>B11-P4-3</t>
  </si>
  <si>
    <t>B12-P1-2</t>
  </si>
  <si>
    <t>B12-P1-3</t>
  </si>
  <si>
    <t>B12-P1-4</t>
  </si>
  <si>
    <t>B12-P2-1</t>
  </si>
  <si>
    <t>B12-P2-3</t>
  </si>
  <si>
    <t>B12-P2-4</t>
  </si>
  <si>
    <t>B12-P3-1</t>
  </si>
  <si>
    <t>B12-P3-2</t>
  </si>
  <si>
    <t>B12-P3-4</t>
  </si>
  <si>
    <t>B12-P4-1</t>
  </si>
  <si>
    <t>B12-P4-2</t>
  </si>
  <si>
    <t>B12-P4-3</t>
  </si>
  <si>
    <t>B13-P1-2</t>
  </si>
  <si>
    <t>B13-P1-3</t>
  </si>
  <si>
    <t>B13-P1-4</t>
  </si>
  <si>
    <t>B13-P2-1</t>
  </si>
  <si>
    <t>B13-P2-3</t>
  </si>
  <si>
    <t>B13-P2-4</t>
  </si>
  <si>
    <t>B13-P3-1</t>
  </si>
  <si>
    <t>B13-P3-2</t>
  </si>
  <si>
    <t>B13-P3-4</t>
  </si>
  <si>
    <t>B13-P4-1</t>
  </si>
  <si>
    <t>B13-P4-2</t>
  </si>
  <si>
    <t>B13-P4-3</t>
  </si>
  <si>
    <t>B14-P1-2</t>
  </si>
  <si>
    <t>B14-P1-3</t>
  </si>
  <si>
    <t>B14-P1-4</t>
  </si>
  <si>
    <t>B14-P2-1</t>
  </si>
  <si>
    <t>B14-P2-3</t>
  </si>
  <si>
    <t>B14-P2-4</t>
  </si>
  <si>
    <t>B14-P3-1</t>
  </si>
  <si>
    <t>B14-P3-2</t>
  </si>
  <si>
    <t>B14-P3-4</t>
  </si>
  <si>
    <t>B14-P4-1</t>
  </si>
  <si>
    <t>B14-P4-2</t>
  </si>
  <si>
    <t>B14-P4-3</t>
  </si>
  <si>
    <t>B15-P1-2</t>
  </si>
  <si>
    <t>B15-P1-3</t>
  </si>
  <si>
    <t>B15-P1-4</t>
  </si>
  <si>
    <t>B15-P2-1</t>
  </si>
  <si>
    <t>B15-P2-3</t>
  </si>
  <si>
    <t>B15-P2-4</t>
  </si>
  <si>
    <t>B15-P3-1</t>
  </si>
  <si>
    <t>B15-P3-2</t>
  </si>
  <si>
    <t>B15-P3-4</t>
  </si>
  <si>
    <t>B15-P4-1</t>
  </si>
  <si>
    <t>B15-P4-2</t>
  </si>
  <si>
    <t>B15-P4-3</t>
  </si>
  <si>
    <t>Efecto de ΔT mínimo</t>
  </si>
  <si>
    <t>Escenarios recalculados mediante cascadas independientes. Cambia los ΔT azules o las corrientes de Entradas.</t>
  </si>
  <si>
    <t>QH mínimo</t>
  </si>
  <si>
    <t>QC mínimo</t>
  </si>
  <si>
    <t>Q recuperada</t>
  </si>
  <si>
    <t>Cascada del escenario 1 · ΔT en A4</t>
  </si>
  <si>
    <t>T* ordenada</t>
  </si>
  <si>
    <t>ΔH</t>
  </si>
  <si>
    <t>Cascada del escenario 2 · ΔT en A5</t>
  </si>
  <si>
    <t>Cascada del escenario 3 · ΔT en A6</t>
  </si>
  <si>
    <t>Cascada del escenario 4 · ΔT en A7</t>
  </si>
  <si>
    <t>Cascada del escenario 5 · ΔT en A8</t>
  </si>
  <si>
    <t>Cascada del escenario 6 · ΔT en A9</t>
  </si>
  <si>
    <t>Cascada del escenario 7 · ΔT en A10</t>
  </si>
  <si>
    <t>Cascada del escenario 8 · ΔT en A11</t>
  </si>
  <si>
    <t>Cascada del escenario 9 · ΔT en A12</t>
  </si>
  <si>
    <t>PINCH LAB</t>
  </si>
  <si>
    <t>Integración energética · Cp constante · Contracorriente · División de corrientes por intervalos</t>
  </si>
  <si>
    <t>Calor disponible</t>
  </si>
  <si>
    <t>kJ/h</t>
  </si>
  <si>
    <t>Demanda de calor</t>
  </si>
  <si>
    <t>Calentamiento mínimo</t>
  </si>
  <si>
    <t>Refrigeración mínima</t>
  </si>
  <si>
    <t>Calor recuperado</t>
  </si>
  <si>
    <t>Demanda cubierta</t>
  </si>
  <si>
    <t>ΔT mínimo</t>
  </si>
  <si>
    <t>K</t>
  </si>
  <si>
    <t>Balance global</t>
  </si>
  <si>
    <t>Tolerancia numérica</t>
  </si>
  <si>
    <t>Equipos de proceso</t>
  </si>
  <si>
    <t>Conversión a kW</t>
  </si>
  <si>
    <t>kW</t>
  </si>
  <si>
    <t>Recuperación</t>
  </si>
  <si>
    <t>Para editar: Entradas, celdas azules. El pinch es un resultado. Encontrarás todos sus nodos en Cascada, columnas J:L. En umbrales o zonas pinch puede haber varios nodos.</t>
  </si>
  <si>
    <t>Red ideal de máxima recuperación con ramas y mezclas a igual temperatura. No minimiza equipos ni costes. Área solo si introduces U. Servicios externos sin temperaturas especificadas: se calcula su carga, no su área.</t>
  </si>
  <si>
    <t>Cambiar el número de corrientes requiere regenerar el Excel desde Python. En este libro sí puedes cambiar ID, CP, Tin, Tout, ΔT y U. No insertes filas dentro de los cálculos.</t>
  </si>
  <si>
    <t>Calor sensible y CP constante por corriente. Para cp variable, discretiza por intervalos. No introducir cambios de fase como Tin=Tout.</t>
  </si>
  <si>
    <t>Corriente</t>
  </si>
  <si>
    <t>H local</t>
  </si>
  <si>
    <t>T real</t>
  </si>
  <si>
    <t>Cómo leer y modificar el modelo</t>
  </si>
  <si>
    <t>Este archivo contiene fórmulas editables. No requiere ejecutar Python para cambiar valores de las corrientes existentes.</t>
  </si>
  <si>
    <t>1. Datos</t>
  </si>
  <si>
    <t>CP=m·cp en kJ/(h·K), temperaturas en °C. Q en kJ/h. Para trabajar en kW, divide CP y Q por 3600; este archivo conserva las unidades originales.</t>
  </si>
  <si>
    <t>2. ΔT mínimo y pinch</t>
  </si>
  <si>
    <t>Eliges ΔT mínimo; el pinch se obtiene de los ceros de la cascada ajustada. No es una temperatura de entrada independiente. Revisa Cascada J:L.</t>
  </si>
  <si>
    <t>3. Cascada</t>
  </si>
  <si>
    <t>Ordenar T*; ΔH=(ΣCP_hot−ΣCP_cold)ΔT*. QHmin=max(0,−min residual bruto); QCmin=residual final+QHmin.</t>
  </si>
  <si>
    <t>4. Curvas</t>
  </si>
  <si>
    <t>Compuestas integra CP por intervalos. La curva fría se desplaza QCmin sobre el eje H. La gran compuesta representa el residual de la cascada frente a T*.</t>
  </si>
  <si>
    <t>5. Red por tramos</t>
  </si>
  <si>
    <t>Se unen los nodos de entalpía de ambas curvas. En cada intervalo se calculan Th y Tc en los dos extremos. Se asigna Qij=ΔH·fh_i·fc_j.</t>
  </si>
  <si>
    <t>6. Fracciones de rama</t>
  </si>
  <si>
    <t>fh_i=CP_i/ΣCP_hot; fc_j=CP_j/ΣCP_cold. La rama caliente i hacia j usa fracción fc_j. La rama fría j desde i usa fracción fh_i. Consultar Equipos J:M.</t>
  </si>
  <si>
    <t>7. Servicios externos</t>
  </si>
  <si>
    <t>Las colas no solapadas determinan refrigeración y calentamiento. La matriz muestra servicios por corriente. Elegir utilidades reales exige temperaturas compatibles con ΔT mínimo.</t>
  </si>
  <si>
    <t>8. Área opcional</t>
  </si>
  <si>
    <t>A=Q/(U·ΔTlm). U es un supuesto del usuario y debe ser compatible con las unidades. ΔTlm=(ΔT1−ΔT2)/ln(ΔT1/ΔT2). Si ambas diferencias son iguales se usa ese valor. Con ΔT extremo cero, área infinita.</t>
  </si>
  <si>
    <t>9. Modificaciones</t>
  </si>
  <si>
    <t>Cambiar celdas azules en Entradas actualiza tablas, equipos y gráficos. Para más/menos corrientes, regenerar desde Python. Si aplicaste filtros, vuelve a aplicarlos tras modificar los datos.</t>
  </si>
  <si>
    <t>10. Límites</t>
  </si>
  <si>
    <t>CP constante, régimen estacionario, calor sensible, sin pérdidas térmicas ni restricciones de mezcla de ramas de una misma corriente. La red minimiza servicios, no número de equipos ni coste total.</t>
  </si>
  <si>
    <t>11. Excel</t>
  </si>
  <si>
    <t>Fórmulas convencionales; gráficos XY nativos. Usa cálculo automático. En Excel de escritorio puedes forzar recálculo con Ctrl+Alt+F9. Vista previa sin motor de cálculo puede mostrar solo la caché inicial.</t>
  </si>
  <si>
    <t>12. Fuente</t>
  </si>
  <si>
    <t>Datos y ΔT mínimo: PDF del usuario, diapositivas 27/30. Método de cascada y temperaturas desplazadas explicado en el código y en LEEME.md. No se supone un U ni temperaturas de servicios no aportados.</t>
  </si>
</sst>
</file>

<file path=xl/styles.xml><?xml version="1.0" encoding="utf-8"?>
<styleSheet xmlns="http://schemas.openxmlformats.org/spreadsheetml/2006/main">
  <numFmts count="3">
    <numFmt numFmtId="164" formatCode="#,##0.00;[Red](#,##0.00);–"/>
    <numFmt numFmtId="165" formatCode="#,##0.00"/>
    <numFmt numFmtId="166" formatCode="0.0%"/>
  </numFmts>
  <fonts count="9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22"/>
      <color rgb="FF142D4E"/>
      <name val="Aptos Display"/>
      <family val="2"/>
    </font>
    <font>
      <sz val="10"/>
      <color rgb="FF52657D"/>
      <name val="Aptos"/>
      <family val="2"/>
    </font>
    <font>
      <sz val="11"/>
      <color rgb="FF243C58"/>
      <name val="Aptos"/>
      <family val="2"/>
    </font>
    <font>
      <b/>
      <sz val="17"/>
      <color rgb="FF148A83"/>
      <name val="Aptos"/>
      <family val="2"/>
    </font>
    <font>
      <sz val="11"/>
      <color rgb="FF243C5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75CA4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142D4E"/>
        <bgColor indexed="64"/>
      </patternFill>
    </fill>
    <fill>
      <patternFill patternType="solid">
        <fgColor rgb="FFEAF4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165" fontId="5" fillId="0" borderId="0" xfId="0" applyNumberFormat="1" applyFont="1"/>
    <xf numFmtId="166" fontId="6" fillId="0" borderId="0" xfId="0" applyNumberFormat="1" applyFont="1"/>
    <xf numFmtId="0" fontId="7" fillId="2" borderId="0" xfId="0" applyFont="1" applyFill="1" applyAlignment="1">
      <alignment vertical="center" wrapText="1"/>
    </xf>
    <xf numFmtId="165" fontId="8" fillId="3" borderId="0" xfId="0" applyNumberFormat="1" applyFont="1" applyFill="1"/>
  </cellXfs>
  <cellStyles count="1">
    <cellStyle name="Normal" xfId="0" builtinId="0"/>
  </cellStyles>
  <dxfs count="4">
    <dxf>
      <font>
        <color rgb="FFC64238"/>
      </font>
      <numFmt numFmtId="165" formatCode="#,##0.00"/>
    </dxf>
    <dxf>
      <font>
        <color rgb="FF2275C9"/>
      </font>
      <numFmt numFmtId="165" formatCode="#,##0.00"/>
    </dxf>
    <dxf>
      <font>
        <color rgb="FFAD3028"/>
      </font>
      <fill>
        <patternFill>
          <bgColor rgb="FFFBE5E3"/>
        </patternFill>
      </fill>
    </dxf>
    <dxf>
      <font>
        <b/>
      </font>
      <fill>
        <patternFill>
          <bgColor rgb="FFE3F2E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>
                <a:solidFill>
                  <a:srgbClr val="142D4E"/>
                </a:solidFill>
                <a:latin typeface="Aptos"/>
              </a:defRPr>
            </a:pPr>
            <a:r>
              <a:rPr lang="en-US" sz="1300" baseline="0">
                <a:solidFill>
                  <a:srgbClr val="142D4E"/>
                </a:solidFill>
                <a:latin typeface="Aptos"/>
              </a:rPr>
              <a:t>Compuestas ajustadas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Caliente</c:v>
          </c:tx>
          <c:spPr>
            <a:ln w="28575">
              <a:solidFill>
                <a:srgbClr val="D64D44"/>
              </a:solidFill>
            </a:ln>
          </c:spPr>
          <c:marker>
            <c:symbol val="circle"/>
            <c:size val="3"/>
            <c:spPr>
              <a:solidFill>
                <a:srgbClr val="D64D44"/>
              </a:solidFill>
              <a:ln>
                <a:solidFill>
                  <a:srgbClr val="D64D44"/>
                </a:solidFill>
              </a:ln>
            </c:spPr>
          </c:marker>
          <c:xVal>
            <c:numRef>
              <c:f>Compuestas!$H$4:$H$11</c:f>
              <c:numCache>
                <c:formatCode>General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80000.0</c:v>
                </c:pt>
                <c:pt idx="3">
                  <c:v>130000.0</c:v>
                </c:pt>
                <c:pt idx="4">
                  <c:v>230000.0</c:v>
                </c:pt>
                <c:pt idx="5">
                  <c:v>430000.0</c:v>
                </c:pt>
                <c:pt idx="6">
                  <c:v>480000.0</c:v>
                </c:pt>
                <c:pt idx="7">
                  <c:v>530000.0</c:v>
                </c:pt>
              </c:numCache>
            </c:numRef>
          </c:xVal>
          <c:yVal>
            <c:numRef>
              <c:f>Compuestas!$K$4:$K$11</c:f>
              <c:numCache>
                <c:formatCode>General</c:formatCode>
                <c:ptCount val="8"/>
                <c:pt idx="0">
                  <c:v>0</c:v>
                </c:pt>
                <c:pt idx="1">
                  <c:v>100.0</c:v>
                </c:pt>
                <c:pt idx="2">
                  <c:v>120.0</c:v>
                </c:pt>
                <c:pt idx="3">
                  <c:v>130.0</c:v>
                </c:pt>
                <c:pt idx="4">
                  <c:v>150.0</c:v>
                </c:pt>
                <c:pt idx="5">
                  <c:v>190.0</c:v>
                </c:pt>
                <c:pt idx="6">
                  <c:v>200.0</c:v>
                </c:pt>
                <c:pt idx="7">
                  <c:v>250.0</c:v>
                </c:pt>
              </c:numCache>
            </c:numRef>
          </c:yVal>
        </c:ser>
        <c:ser>
          <c:idx val="1"/>
          <c:order val="1"/>
          <c:tx>
            <c:v>Fría</c:v>
          </c:tx>
          <c:spPr>
            <a:ln w="28575">
              <a:solidFill>
                <a:srgbClr val="2275C9"/>
              </a:solidFill>
            </a:ln>
          </c:spPr>
          <c:marker>
            <c:symbol val="circle"/>
            <c:size val="3"/>
            <c:spPr>
              <a:solidFill>
                <a:srgbClr val="2275C9"/>
              </a:solidFill>
              <a:ln>
                <a:solidFill>
                  <a:srgbClr val="2275C9"/>
                </a:solidFill>
              </a:ln>
            </c:spPr>
          </c:marker>
          <c:xVal>
            <c:numRef>
              <c:f>Compuestas!$J$4:$J$11</c:f>
              <c:numCache>
                <c:formatCode>General</c:formatCode>
                <c:ptCount val="8"/>
                <c:pt idx="0">
                  <c:v>60000.0</c:v>
                </c:pt>
                <c:pt idx="1">
                  <c:v>90000.0</c:v>
                </c:pt>
                <c:pt idx="2">
                  <c:v>150000.0</c:v>
                </c:pt>
                <c:pt idx="3">
                  <c:v>180000.0</c:v>
                </c:pt>
                <c:pt idx="4">
                  <c:v>360000.0</c:v>
                </c:pt>
                <c:pt idx="5">
                  <c:v>600000.0</c:v>
                </c:pt>
                <c:pt idx="6">
                  <c:v>600000.0</c:v>
                </c:pt>
                <c:pt idx="7">
                  <c:v>600000.0</c:v>
                </c:pt>
              </c:numCache>
            </c:numRef>
          </c:xVal>
          <c:yVal>
            <c:numRef>
              <c:f>Compuestas!$L$4:$L$11</c:f>
              <c:numCache>
                <c:formatCode>General</c:formatCode>
                <c:ptCount val="8"/>
                <c:pt idx="0">
                  <c:v>90.0</c:v>
                </c:pt>
                <c:pt idx="1">
                  <c:v>100.0</c:v>
                </c:pt>
                <c:pt idx="2">
                  <c:v>120.0</c:v>
                </c:pt>
                <c:pt idx="3">
                  <c:v>130.0</c:v>
                </c:pt>
                <c:pt idx="4">
                  <c:v>150.0</c:v>
                </c:pt>
                <c:pt idx="5">
                  <c:v>190.0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Carga térmica (kJ/h)</a:t>
                </a:r>
              </a:p>
            </c:rich>
          </c:tx>
          <c:layout/>
        </c:title>
        <c:numFmt formatCode="#,##0" sourceLinked="0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7EDF3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T (°C)</a:t>
                </a:r>
              </a:p>
            </c:rich>
          </c:tx>
          <c:layout/>
        </c:title>
        <c:numFmt formatCode="0" sourceLinked="0"/>
        <c:tickLblPos val="nextTo"/>
        <c:crossAx val="50010001"/>
        <c:crosses val="autoZero"/>
        <c:crossBetween val="midCat"/>
      </c:valAx>
      <c:spPr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>
                <a:solidFill>
                  <a:srgbClr val="142D4E"/>
                </a:solidFill>
                <a:latin typeface="Aptos"/>
              </a:defRPr>
            </a:pPr>
            <a:r>
              <a:rPr lang="en-US" sz="1300" baseline="0">
                <a:solidFill>
                  <a:srgbClr val="142D4E"/>
                </a:solidFill>
                <a:latin typeface="Aptos"/>
              </a:rPr>
              <a:t>Compuestas desplazadas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Caliente</c:v>
          </c:tx>
          <c:spPr>
            <a:ln w="28575">
              <a:solidFill>
                <a:srgbClr val="D64D44"/>
              </a:solidFill>
            </a:ln>
          </c:spPr>
          <c:marker>
            <c:symbol val="circle"/>
            <c:size val="3"/>
            <c:spPr>
              <a:solidFill>
                <a:srgbClr val="D64D44"/>
              </a:solidFill>
              <a:ln>
                <a:solidFill>
                  <a:srgbClr val="D64D44"/>
                </a:solidFill>
              </a:ln>
            </c:spPr>
          </c:marker>
          <c:xVal>
            <c:numRef>
              <c:f>Compuestas!$H$4:$H$11</c:f>
              <c:numCache>
                <c:formatCode>General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80000.0</c:v>
                </c:pt>
                <c:pt idx="3">
                  <c:v>130000.0</c:v>
                </c:pt>
                <c:pt idx="4">
                  <c:v>230000.0</c:v>
                </c:pt>
                <c:pt idx="5">
                  <c:v>430000.0</c:v>
                </c:pt>
                <c:pt idx="6">
                  <c:v>480000.0</c:v>
                </c:pt>
                <c:pt idx="7">
                  <c:v>530000.0</c:v>
                </c:pt>
              </c:numCache>
            </c:numRef>
          </c:xVal>
          <c:yVal>
            <c:numRef>
              <c:f>Compuestas!$M$4:$M$11</c:f>
              <c:numCache>
                <c:formatCode>General</c:formatCode>
                <c:ptCount val="8"/>
                <c:pt idx="0">
                  <c:v>0</c:v>
                </c:pt>
                <c:pt idx="1">
                  <c:v>95.0</c:v>
                </c:pt>
                <c:pt idx="2">
                  <c:v>115.0</c:v>
                </c:pt>
                <c:pt idx="3">
                  <c:v>125.0</c:v>
                </c:pt>
                <c:pt idx="4">
                  <c:v>145.0</c:v>
                </c:pt>
                <c:pt idx="5">
                  <c:v>185.0</c:v>
                </c:pt>
                <c:pt idx="6">
                  <c:v>195.0</c:v>
                </c:pt>
                <c:pt idx="7">
                  <c:v>245.0</c:v>
                </c:pt>
              </c:numCache>
            </c:numRef>
          </c:yVal>
        </c:ser>
        <c:ser>
          <c:idx val="1"/>
          <c:order val="1"/>
          <c:tx>
            <c:v>Fría</c:v>
          </c:tx>
          <c:spPr>
            <a:ln w="28575">
              <a:solidFill>
                <a:srgbClr val="2275C9"/>
              </a:solidFill>
            </a:ln>
          </c:spPr>
          <c:marker>
            <c:symbol val="circle"/>
            <c:size val="3"/>
            <c:spPr>
              <a:solidFill>
                <a:srgbClr val="2275C9"/>
              </a:solidFill>
              <a:ln>
                <a:solidFill>
                  <a:srgbClr val="2275C9"/>
                </a:solidFill>
              </a:ln>
            </c:spPr>
          </c:marker>
          <c:xVal>
            <c:numRef>
              <c:f>Compuestas!$J$4:$J$11</c:f>
              <c:numCache>
                <c:formatCode>General</c:formatCode>
                <c:ptCount val="8"/>
                <c:pt idx="0">
                  <c:v>60000.0</c:v>
                </c:pt>
                <c:pt idx="1">
                  <c:v>90000.0</c:v>
                </c:pt>
                <c:pt idx="2">
                  <c:v>150000.0</c:v>
                </c:pt>
                <c:pt idx="3">
                  <c:v>180000.0</c:v>
                </c:pt>
                <c:pt idx="4">
                  <c:v>360000.0</c:v>
                </c:pt>
                <c:pt idx="5">
                  <c:v>600000.0</c:v>
                </c:pt>
                <c:pt idx="6">
                  <c:v>600000.0</c:v>
                </c:pt>
                <c:pt idx="7">
                  <c:v>600000.0</c:v>
                </c:pt>
              </c:numCache>
            </c:numRef>
          </c:xVal>
          <c:yVal>
            <c:numRef>
              <c:f>Compuestas!$N$4:$N$11</c:f>
              <c:numCache>
                <c:formatCode>General</c:formatCode>
                <c:ptCount val="8"/>
                <c:pt idx="0">
                  <c:v>95.0</c:v>
                </c:pt>
                <c:pt idx="1">
                  <c:v>105.0</c:v>
                </c:pt>
                <c:pt idx="2">
                  <c:v>125.0</c:v>
                </c:pt>
                <c:pt idx="3">
                  <c:v>135.0</c:v>
                </c:pt>
                <c:pt idx="4">
                  <c:v>155.0</c:v>
                </c:pt>
                <c:pt idx="5">
                  <c:v>195.0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Carga térmica (kJ/h)</a:t>
                </a:r>
              </a:p>
            </c:rich>
          </c:tx>
          <c:layout/>
        </c:title>
        <c:numFmt formatCode="#,##0" sourceLinked="0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7EDF3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T* (°C)</a:t>
                </a:r>
              </a:p>
            </c:rich>
          </c:tx>
          <c:layout/>
        </c:title>
        <c:numFmt formatCode="0" sourceLinked="0"/>
        <c:tickLblPos val="nextTo"/>
        <c:crossAx val="50020001"/>
        <c:crosses val="autoZero"/>
        <c:crossBetween val="midCat"/>
      </c:valAx>
      <c:spPr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>
                <a:solidFill>
                  <a:srgbClr val="142D4E"/>
                </a:solidFill>
                <a:latin typeface="Aptos"/>
              </a:defRPr>
            </a:pPr>
            <a:r>
              <a:rPr lang="en-US" sz="1300" baseline="0">
                <a:solidFill>
                  <a:srgbClr val="142D4E"/>
                </a:solidFill>
                <a:latin typeface="Aptos"/>
              </a:rPr>
              <a:t>Compuestas sin ajuste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Caliente</c:v>
          </c:tx>
          <c:spPr>
            <a:ln w="28575">
              <a:solidFill>
                <a:srgbClr val="D64D44"/>
              </a:solidFill>
            </a:ln>
          </c:spPr>
          <c:marker>
            <c:symbol val="circle"/>
            <c:size val="3"/>
            <c:spPr>
              <a:solidFill>
                <a:srgbClr val="D64D44"/>
              </a:solidFill>
              <a:ln>
                <a:solidFill>
                  <a:srgbClr val="D64D44"/>
                </a:solidFill>
              </a:ln>
            </c:spPr>
          </c:marker>
          <c:xVal>
            <c:numRef>
              <c:f>Compuestas!$H$4:$H$11</c:f>
              <c:numCache>
                <c:formatCode>General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80000.0</c:v>
                </c:pt>
                <c:pt idx="3">
                  <c:v>130000.0</c:v>
                </c:pt>
                <c:pt idx="4">
                  <c:v>230000.0</c:v>
                </c:pt>
                <c:pt idx="5">
                  <c:v>430000.0</c:v>
                </c:pt>
                <c:pt idx="6">
                  <c:v>480000.0</c:v>
                </c:pt>
                <c:pt idx="7">
                  <c:v>530000.0</c:v>
                </c:pt>
              </c:numCache>
            </c:numRef>
          </c:xVal>
          <c:yVal>
            <c:numRef>
              <c:f>Compuestas!$K$4:$K$11</c:f>
              <c:numCache>
                <c:formatCode>General</c:formatCode>
                <c:ptCount val="8"/>
                <c:pt idx="0">
                  <c:v>0</c:v>
                </c:pt>
                <c:pt idx="1">
                  <c:v>100.0</c:v>
                </c:pt>
                <c:pt idx="2">
                  <c:v>120.0</c:v>
                </c:pt>
                <c:pt idx="3">
                  <c:v>130.0</c:v>
                </c:pt>
                <c:pt idx="4">
                  <c:v>150.0</c:v>
                </c:pt>
                <c:pt idx="5">
                  <c:v>190.0</c:v>
                </c:pt>
                <c:pt idx="6">
                  <c:v>200.0</c:v>
                </c:pt>
                <c:pt idx="7">
                  <c:v>250.0</c:v>
                </c:pt>
              </c:numCache>
            </c:numRef>
          </c:yVal>
        </c:ser>
        <c:ser>
          <c:idx val="1"/>
          <c:order val="1"/>
          <c:tx>
            <c:v>Fría</c:v>
          </c:tx>
          <c:spPr>
            <a:ln w="28575">
              <a:solidFill>
                <a:srgbClr val="2275C9"/>
              </a:solidFill>
            </a:ln>
          </c:spPr>
          <c:marker>
            <c:symbol val="circle"/>
            <c:size val="3"/>
            <c:spPr>
              <a:solidFill>
                <a:srgbClr val="2275C9"/>
              </a:solidFill>
              <a:ln>
                <a:solidFill>
                  <a:srgbClr val="2275C9"/>
                </a:solidFill>
              </a:ln>
            </c:spPr>
          </c:marker>
          <c:xVal>
            <c:numRef>
              <c:f>Compuestas!$I$4:$I$11</c:f>
              <c:numCache>
                <c:formatCode>General</c:formatCode>
                <c:ptCount val="8"/>
                <c:pt idx="0">
                  <c:v>0.0</c:v>
                </c:pt>
                <c:pt idx="1">
                  <c:v>30000.0</c:v>
                </c:pt>
                <c:pt idx="2">
                  <c:v>90000.0</c:v>
                </c:pt>
                <c:pt idx="3">
                  <c:v>120000.0</c:v>
                </c:pt>
                <c:pt idx="4">
                  <c:v>300000.0</c:v>
                </c:pt>
                <c:pt idx="5">
                  <c:v>540000.0</c:v>
                </c:pt>
                <c:pt idx="6">
                  <c:v>540000.0</c:v>
                </c:pt>
                <c:pt idx="7">
                  <c:v>540000.0</c:v>
                </c:pt>
              </c:numCache>
            </c:numRef>
          </c:xVal>
          <c:yVal>
            <c:numRef>
              <c:f>Compuestas!$L$4:$L$11</c:f>
              <c:numCache>
                <c:formatCode>General</c:formatCode>
                <c:ptCount val="8"/>
                <c:pt idx="0">
                  <c:v>90.0</c:v>
                </c:pt>
                <c:pt idx="1">
                  <c:v>100.0</c:v>
                </c:pt>
                <c:pt idx="2">
                  <c:v>120.0</c:v>
                </c:pt>
                <c:pt idx="3">
                  <c:v>130.0</c:v>
                </c:pt>
                <c:pt idx="4">
                  <c:v>150.0</c:v>
                </c:pt>
                <c:pt idx="5">
                  <c:v>190.0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Carga térmica (kJ/h)</a:t>
                </a:r>
              </a:p>
            </c:rich>
          </c:tx>
          <c:layout/>
        </c:title>
        <c:numFmt formatCode="#,##0" sourceLinked="0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E7EDF3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T (°C)</a:t>
                </a:r>
              </a:p>
            </c:rich>
          </c:tx>
          <c:layout/>
        </c:title>
        <c:numFmt formatCode="0" sourceLinked="0"/>
        <c:tickLblPos val="nextTo"/>
        <c:crossAx val="50030001"/>
        <c:crosses val="autoZero"/>
        <c:crossBetween val="midCat"/>
      </c:valAx>
      <c:spPr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>
                <a:solidFill>
                  <a:srgbClr val="142D4E"/>
                </a:solidFill>
                <a:latin typeface="Aptos"/>
              </a:defRPr>
            </a:pPr>
            <a:r>
              <a:rPr lang="en-US" sz="1300" baseline="0">
                <a:solidFill>
                  <a:srgbClr val="142D4E"/>
                </a:solidFill>
                <a:latin typeface="Aptos"/>
              </a:rPr>
              <a:t>Gran curva compuesta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Calor residual</c:v>
          </c:tx>
          <c:spPr>
            <a:ln w="28575">
              <a:solidFill>
                <a:srgbClr val="148A83"/>
              </a:solidFill>
            </a:ln>
          </c:spPr>
          <c:marker>
            <c:symbol val="circle"/>
            <c:size val="3"/>
            <c:spPr>
              <a:solidFill>
                <a:srgbClr val="148A83"/>
              </a:solidFill>
              <a:ln>
                <a:solidFill>
                  <a:srgbClr val="148A83"/>
                </a:solidFill>
              </a:ln>
            </c:spPr>
          </c:marker>
          <c:xVal>
            <c:numRef>
              <c:f>Cascada!$I$4:$I$11</c:f>
              <c:numCache>
                <c:formatCode>General</c:formatCode>
                <c:ptCount val="8"/>
                <c:pt idx="0">
                  <c:v>70000.0</c:v>
                </c:pt>
                <c:pt idx="1">
                  <c:v>120000.0</c:v>
                </c:pt>
                <c:pt idx="2">
                  <c:v>120000.0</c:v>
                </c:pt>
                <c:pt idx="3">
                  <c:v>80000.0</c:v>
                </c:pt>
                <c:pt idx="4">
                  <c:v>0.0</c:v>
                </c:pt>
                <c:pt idx="5">
                  <c:v>40000.0</c:v>
                </c:pt>
                <c:pt idx="6">
                  <c:v>60000.0</c:v>
                </c:pt>
                <c:pt idx="7">
                  <c:v>60000.0</c:v>
                </c:pt>
              </c:numCache>
            </c:numRef>
          </c:xVal>
          <c:yVal>
            <c:numRef>
              <c:f>Cascada!$B$4:$B$11</c:f>
              <c:numCache>
                <c:formatCode>General</c:formatCode>
                <c:ptCount val="8"/>
                <c:pt idx="0">
                  <c:v>245.0</c:v>
                </c:pt>
                <c:pt idx="1">
                  <c:v>195.0</c:v>
                </c:pt>
                <c:pt idx="2">
                  <c:v>195.0</c:v>
                </c:pt>
                <c:pt idx="3">
                  <c:v>155.0</c:v>
                </c:pt>
                <c:pt idx="4">
                  <c:v>135.0</c:v>
                </c:pt>
                <c:pt idx="5">
                  <c:v>115.0</c:v>
                </c:pt>
                <c:pt idx="6">
                  <c:v>95.0</c:v>
                </c:pt>
                <c:pt idx="7">
                  <c:v>95.0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Calor residual (kJ/h)</a:t>
                </a:r>
              </a:p>
            </c:rich>
          </c:tx>
          <c:layout/>
        </c:title>
        <c:numFmt formatCode="#,##0" sourceLinked="0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7EDF3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T* (°C)</a:t>
                </a:r>
              </a:p>
            </c:rich>
          </c:tx>
          <c:layout/>
        </c:title>
        <c:numFmt formatCode="0" sourceLinked="0"/>
        <c:tickLblPos val="nextTo"/>
        <c:crossAx val="50040001"/>
        <c:crosses val="autoZero"/>
        <c:crossBetween val="midCat"/>
      </c:valAx>
      <c:spPr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>
                <a:solidFill>
                  <a:srgbClr val="142D4E"/>
                </a:solidFill>
                <a:latin typeface="Aptos"/>
              </a:defRPr>
            </a:pPr>
            <a:r>
              <a:rPr lang="en-US" sz="1300" baseline="0">
                <a:solidFill>
                  <a:srgbClr val="142D4E"/>
                </a:solidFill>
                <a:latin typeface="Aptos"/>
              </a:rPr>
              <a:t>Curvas individuales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'Entradas'!$A$11</c:f>
              <c:strCache>
                <c:ptCount val="1"/>
                <c:pt idx="0">
                  <c:v>H1</c:v>
                </c:pt>
              </c:strCache>
            </c:strRef>
          </c:tx>
          <c:spPr>
            <a:ln w="28575">
              <a:solidFill>
                <a:srgbClr val="D64D44"/>
              </a:solidFill>
            </a:ln>
          </c:spPr>
          <c:marker>
            <c:symbol val="circle"/>
            <c:size val="3"/>
            <c:spPr>
              <a:solidFill>
                <a:srgbClr val="D64D44"/>
              </a:solidFill>
              <a:ln>
                <a:solidFill>
                  <a:srgbClr val="D64D44"/>
                </a:solidFill>
              </a:ln>
            </c:spPr>
          </c:marker>
          <c:xVal>
            <c:numRef>
              <c:f>Compuestas!$B$17:$B$18</c:f>
              <c:numCache>
                <c:formatCode>General</c:formatCode>
                <c:ptCount val="2"/>
                <c:pt idx="0">
                  <c:v>130000</c:v>
                </c:pt>
                <c:pt idx="1">
                  <c:v>0</c:v>
                </c:pt>
              </c:numCache>
            </c:numRef>
          </c:xVal>
          <c:yVal>
            <c:numRef>
              <c:f>Compuestas!$C$17:$C$18</c:f>
              <c:numCache>
                <c:formatCode>General</c:formatCode>
                <c:ptCount val="2"/>
                <c:pt idx="0">
                  <c:v>250</c:v>
                </c:pt>
                <c:pt idx="1">
                  <c:v>120</c:v>
                </c:pt>
              </c:numCache>
            </c:numRef>
          </c:yVal>
        </c:ser>
        <c:ser>
          <c:idx val="1"/>
          <c:order val="1"/>
          <c:tx>
            <c:strRef>
              <c:f>'Entradas'!$A$12</c:f>
              <c:strCache>
                <c:ptCount val="1"/>
                <c:pt idx="0">
                  <c:v>H2</c:v>
                </c:pt>
              </c:strCache>
            </c:strRef>
          </c:tx>
          <c:spPr>
            <a:ln w="28575">
              <a:solidFill>
                <a:srgbClr val="D64D44"/>
              </a:solidFill>
            </a:ln>
          </c:spPr>
          <c:marker>
            <c:symbol val="circle"/>
            <c:size val="3"/>
            <c:spPr>
              <a:solidFill>
                <a:srgbClr val="D64D44"/>
              </a:solidFill>
              <a:ln>
                <a:solidFill>
                  <a:srgbClr val="D64D44"/>
                </a:solidFill>
              </a:ln>
            </c:spPr>
          </c:marker>
          <c:xVal>
            <c:numRef>
              <c:f>Compuestas!$B$19:$B$20</c:f>
              <c:numCache>
                <c:formatCode>General</c:formatCode>
                <c:ptCount val="2"/>
                <c:pt idx="0">
                  <c:v>400000</c:v>
                </c:pt>
                <c:pt idx="1">
                  <c:v>0</c:v>
                </c:pt>
              </c:numCache>
            </c:numRef>
          </c:xVal>
          <c:yVal>
            <c:numRef>
              <c:f>Compuestas!$C$19:$C$20</c:f>
              <c:numCache>
                <c:formatCode>General</c:formatCode>
                <c:ptCount val="2"/>
                <c:pt idx="0">
                  <c:v>200</c:v>
                </c:pt>
                <c:pt idx="1">
                  <c:v>100</c:v>
                </c:pt>
              </c:numCache>
            </c:numRef>
          </c:yVal>
        </c:ser>
        <c:ser>
          <c:idx val="2"/>
          <c:order val="2"/>
          <c:tx>
            <c:strRef>
              <c:f>'Entradas'!$A$13</c:f>
              <c:strCache>
                <c:ptCount val="1"/>
                <c:pt idx="0">
                  <c:v>C3</c:v>
                </c:pt>
              </c:strCache>
            </c:strRef>
          </c:tx>
          <c:spPr>
            <a:ln w="28575">
              <a:solidFill>
                <a:srgbClr val="2275C9"/>
              </a:solidFill>
            </a:ln>
          </c:spPr>
          <c:marker>
            <c:symbol val="circle"/>
            <c:size val="3"/>
            <c:spPr>
              <a:solidFill>
                <a:srgbClr val="2275C9"/>
              </a:solidFill>
              <a:ln>
                <a:solidFill>
                  <a:srgbClr val="2275C9"/>
                </a:solidFill>
              </a:ln>
            </c:spPr>
          </c:marker>
          <c:xVal>
            <c:numRef>
              <c:f>Compuestas!$B$21:$B$22</c:f>
              <c:numCache>
                <c:formatCode>General</c:formatCode>
                <c:ptCount val="2"/>
                <c:pt idx="0">
                  <c:v>0</c:v>
                </c:pt>
                <c:pt idx="1">
                  <c:v>180000</c:v>
                </c:pt>
              </c:numCache>
            </c:numRef>
          </c:xVal>
          <c:yVal>
            <c:numRef>
              <c:f>Compuestas!$C$21:$C$22</c:f>
              <c:numCache>
                <c:formatCode>General</c:formatCode>
                <c:ptCount val="2"/>
                <c:pt idx="0">
                  <c:v>90</c:v>
                </c:pt>
                <c:pt idx="1">
                  <c:v>150</c:v>
                </c:pt>
              </c:numCache>
            </c:numRef>
          </c:yVal>
        </c:ser>
        <c:ser>
          <c:idx val="3"/>
          <c:order val="3"/>
          <c:tx>
            <c:strRef>
              <c:f>'Entradas'!$A$14</c:f>
              <c:strCache>
                <c:ptCount val="1"/>
                <c:pt idx="0">
                  <c:v>C4</c:v>
                </c:pt>
              </c:strCache>
            </c:strRef>
          </c:tx>
          <c:spPr>
            <a:ln w="28575">
              <a:solidFill>
                <a:srgbClr val="2275C9"/>
              </a:solidFill>
            </a:ln>
          </c:spPr>
          <c:marker>
            <c:symbol val="circle"/>
            <c:size val="3"/>
            <c:spPr>
              <a:solidFill>
                <a:srgbClr val="2275C9"/>
              </a:solidFill>
              <a:ln>
                <a:solidFill>
                  <a:srgbClr val="2275C9"/>
                </a:solidFill>
              </a:ln>
            </c:spPr>
          </c:marker>
          <c:xVal>
            <c:numRef>
              <c:f>Compuestas!$B$23:$B$24</c:f>
              <c:numCache>
                <c:formatCode>General</c:formatCode>
                <c:ptCount val="2"/>
                <c:pt idx="0">
                  <c:v>0</c:v>
                </c:pt>
                <c:pt idx="1">
                  <c:v>360000</c:v>
                </c:pt>
              </c:numCache>
            </c:numRef>
          </c:xVal>
          <c:yVal>
            <c:numRef>
              <c:f>Compuestas!$C$23:$C$24</c:f>
              <c:numCache>
                <c:formatCode>General</c:formatCode>
                <c:ptCount val="2"/>
                <c:pt idx="0">
                  <c:v>130</c:v>
                </c:pt>
                <c:pt idx="1">
                  <c:v>190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Carga térmica (kJ/h)</a:t>
                </a:r>
              </a:p>
            </c:rich>
          </c:tx>
          <c:layout/>
        </c:title>
        <c:numFmt formatCode="#,##0" sourceLinked="0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7EDF3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Temperatura (°C)</a:t>
                </a:r>
              </a:p>
            </c:rich>
          </c:tx>
          <c:layout/>
        </c:title>
        <c:numFmt formatCode="0" sourceLinked="0"/>
        <c:tickLblPos val="nextTo"/>
        <c:crossAx val="50050001"/>
        <c:crosses val="autoZero"/>
        <c:crossBetween val="midCat"/>
      </c:valAx>
      <c:spPr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>
                <a:solidFill>
                  <a:srgbClr val="142D4E"/>
                </a:solidFill>
                <a:latin typeface="Aptos"/>
              </a:defRPr>
            </a:pPr>
            <a:r>
              <a:rPr lang="en-US" sz="1300" baseline="0">
                <a:solidFill>
                  <a:srgbClr val="142D4E"/>
                </a:solidFill>
                <a:latin typeface="Aptos"/>
              </a:rPr>
              <a:t>Sensibilidad a ΔT mínimo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Calentamiento</c:v>
          </c:tx>
          <c:spPr>
            <a:ln w="28575">
              <a:solidFill>
                <a:srgbClr val="D64D44"/>
              </a:solidFill>
            </a:ln>
          </c:spPr>
          <c:marker>
            <c:symbol val="circle"/>
            <c:size val="3"/>
            <c:spPr>
              <a:solidFill>
                <a:srgbClr val="D64D44"/>
              </a:solidFill>
              <a:ln>
                <a:solidFill>
                  <a:srgbClr val="D64D44"/>
                </a:solidFill>
              </a:ln>
            </c:spPr>
          </c:marker>
          <c:xVal>
            <c:numRef>
              <c:f>Sensibilidad!$A$4:$A$12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Sensibilidad!$B$4:$B$12</c:f>
              <c:numCache>
                <c:formatCode>General</c:formatCode>
                <c:ptCount val="9"/>
                <c:pt idx="0">
                  <c:v>20000.0</c:v>
                </c:pt>
                <c:pt idx="1">
                  <c:v>45000.0</c:v>
                </c:pt>
                <c:pt idx="2">
                  <c:v>70000.0</c:v>
                </c:pt>
                <c:pt idx="3">
                  <c:v>95000.0</c:v>
                </c:pt>
                <c:pt idx="4">
                  <c:v>120000.0</c:v>
                </c:pt>
                <c:pt idx="5">
                  <c:v>145000.0</c:v>
                </c:pt>
                <c:pt idx="6">
                  <c:v>170000.0</c:v>
                </c:pt>
                <c:pt idx="7">
                  <c:v>195000.0</c:v>
                </c:pt>
                <c:pt idx="8">
                  <c:v>220000.0</c:v>
                </c:pt>
              </c:numCache>
            </c:numRef>
          </c:yVal>
        </c:ser>
        <c:ser>
          <c:idx val="1"/>
          <c:order val="1"/>
          <c:tx>
            <c:v>Refrigeración</c:v>
          </c:tx>
          <c:spPr>
            <a:ln w="28575">
              <a:solidFill>
                <a:srgbClr val="2275C9"/>
              </a:solidFill>
            </a:ln>
          </c:spPr>
          <c:marker>
            <c:symbol val="circle"/>
            <c:size val="3"/>
            <c:spPr>
              <a:solidFill>
                <a:srgbClr val="2275C9"/>
              </a:solidFill>
              <a:ln>
                <a:solidFill>
                  <a:srgbClr val="2275C9"/>
                </a:solidFill>
              </a:ln>
            </c:spPr>
          </c:marker>
          <c:xVal>
            <c:numRef>
              <c:f>Sensibilidad!$A$4:$A$12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Sensibilidad!$C$4:$C$12</c:f>
              <c:numCache>
                <c:formatCode>General</c:formatCode>
                <c:ptCount val="9"/>
                <c:pt idx="0">
                  <c:v>10000.0</c:v>
                </c:pt>
                <c:pt idx="1">
                  <c:v>35000.0</c:v>
                </c:pt>
                <c:pt idx="2">
                  <c:v>60000.0</c:v>
                </c:pt>
                <c:pt idx="3">
                  <c:v>85000.0</c:v>
                </c:pt>
                <c:pt idx="4">
                  <c:v>110000.0</c:v>
                </c:pt>
                <c:pt idx="5">
                  <c:v>135000.0</c:v>
                </c:pt>
                <c:pt idx="6">
                  <c:v>160000.0</c:v>
                </c:pt>
                <c:pt idx="7">
                  <c:v>185000.0</c:v>
                </c:pt>
                <c:pt idx="8">
                  <c:v>210000.0</c:v>
                </c:pt>
              </c:numCache>
            </c:numRef>
          </c:yVal>
        </c:ser>
        <c:ser>
          <c:idx val="2"/>
          <c:order val="2"/>
          <c:tx>
            <c:v>Recuperación</c:v>
          </c:tx>
          <c:spPr>
            <a:ln w="28575">
              <a:solidFill>
                <a:srgbClr val="148A83"/>
              </a:solidFill>
            </a:ln>
          </c:spPr>
          <c:marker>
            <c:symbol val="circle"/>
            <c:size val="3"/>
            <c:spPr>
              <a:solidFill>
                <a:srgbClr val="148A83"/>
              </a:solidFill>
              <a:ln>
                <a:solidFill>
                  <a:srgbClr val="148A83"/>
                </a:solidFill>
              </a:ln>
            </c:spPr>
          </c:marker>
          <c:xVal>
            <c:numRef>
              <c:f>Sensibilidad!$A$4:$A$12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Sensibilidad!$D$4:$D$12</c:f>
              <c:numCache>
                <c:formatCode>General</c:formatCode>
                <c:ptCount val="9"/>
                <c:pt idx="0">
                  <c:v>520000.0</c:v>
                </c:pt>
                <c:pt idx="1">
                  <c:v>495000.0</c:v>
                </c:pt>
                <c:pt idx="2">
                  <c:v>470000.0</c:v>
                </c:pt>
                <c:pt idx="3">
                  <c:v>445000.0</c:v>
                </c:pt>
                <c:pt idx="4">
                  <c:v>420000.0</c:v>
                </c:pt>
                <c:pt idx="5">
                  <c:v>395000.0</c:v>
                </c:pt>
                <c:pt idx="6">
                  <c:v>370000.0</c:v>
                </c:pt>
                <c:pt idx="7">
                  <c:v>345000.0</c:v>
                </c:pt>
                <c:pt idx="8">
                  <c:v>320000.0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ΔT mínimo (K)</a:t>
                </a:r>
              </a:p>
            </c:rich>
          </c:tx>
          <c:layout/>
        </c:title>
        <c:numFmt formatCode="#,##0" sourceLinked="0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>
          <c:spPr>
            <a:ln>
              <a:solidFill>
                <a:srgbClr val="E7EDF3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Carga térmica (kJ/h)</a:t>
                </a:r>
              </a:p>
            </c:rich>
          </c:tx>
          <c:layout/>
        </c:title>
        <c:numFmt formatCode="0" sourceLinked="0"/>
        <c:tickLblPos val="nextTo"/>
        <c:crossAx val="50060001"/>
        <c:crosses val="autoZero"/>
        <c:crossBetween val="midCat"/>
      </c:valAx>
      <c:spPr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476250</xdr:colOff>
      <xdr:row>16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</xdr:row>
      <xdr:rowOff>0</xdr:rowOff>
    </xdr:from>
    <xdr:to>
      <xdr:col>21</xdr:col>
      <xdr:colOff>142875</xdr:colOff>
      <xdr:row>16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12</xdr:col>
      <xdr:colOff>476250</xdr:colOff>
      <xdr:row>35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22</xdr:row>
      <xdr:rowOff>0</xdr:rowOff>
    </xdr:from>
    <xdr:to>
      <xdr:col>21</xdr:col>
      <xdr:colOff>142875</xdr:colOff>
      <xdr:row>35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41</xdr:row>
      <xdr:rowOff>0</xdr:rowOff>
    </xdr:from>
    <xdr:to>
      <xdr:col>12</xdr:col>
      <xdr:colOff>476250</xdr:colOff>
      <xdr:row>54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41</xdr:row>
      <xdr:rowOff>0</xdr:rowOff>
    </xdr:from>
    <xdr:to>
      <xdr:col>21</xdr:col>
      <xdr:colOff>142875</xdr:colOff>
      <xdr:row>54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48A83"/>
    <pageSetUpPr fitToPage="1"/>
  </sheetPr>
  <dimension ref="A1:AE45"/>
  <sheetViews>
    <sheetView showGridLines="0" tabSelected="1" zoomScale="90" zoomScaleNormal="90" workbookViewId="0">
      <pane ySplit="3" topLeftCell="A4" activePane="bottomLeft" state="frozen"/>
      <selection pane="bottomLeft"/>
    </sheetView>
  </sheetViews>
  <sheetFormatPr defaultRowHeight="21" customHeight="1"/>
  <cols>
    <col min="1" max="1" width="31.7109375" customWidth="1"/>
    <col min="2" max="2" width="20.7109375" customWidth="1"/>
    <col min="3" max="3" width="13.7109375" customWidth="1"/>
    <col min="4" max="4" width="3.7109375" customWidth="1"/>
    <col min="5" max="20" width="10.7109375" customWidth="1"/>
    <col min="21" max="31" width="15.7109375" style="1" customWidth="1"/>
  </cols>
  <sheetData>
    <row r="1" spans="1:10" ht="35" customHeight="1">
      <c r="A1" s="2" t="s">
        <v>299</v>
      </c>
      <c r="B1" s="2"/>
      <c r="C1" s="2"/>
      <c r="D1" s="2"/>
      <c r="E1" s="2"/>
      <c r="F1" s="2"/>
      <c r="G1" s="2"/>
      <c r="H1" s="2"/>
      <c r="I1" s="2"/>
      <c r="J1" s="2"/>
    </row>
    <row r="2" spans="1:10" ht="33" customHeight="1">
      <c r="A2" s="3" t="s">
        <v>300</v>
      </c>
      <c r="B2" s="3"/>
      <c r="C2" s="3"/>
      <c r="D2" s="3"/>
      <c r="E2" s="3"/>
      <c r="F2" s="3"/>
      <c r="G2" s="3"/>
      <c r="H2" s="3"/>
      <c r="I2" s="3"/>
      <c r="J2" s="3"/>
    </row>
    <row r="3" spans="1:10" ht="21" customHeight="1">
      <c r="A3" s="4" t="str">
        <f>'Entradas'!A7</f>
        <v>Datos válidos</v>
      </c>
    </row>
    <row r="5" spans="1:10" ht="21" customHeight="1">
      <c r="A5" s="4" t="s">
        <v>301</v>
      </c>
      <c r="B5" s="1">
        <f>SUMIFS('Entradas'!$F$11:$F$14,'Entradas'!$E$11:$E$14,"HOT")</f>
        <v>530000</v>
      </c>
      <c r="C5" s="3" t="s">
        <v>302</v>
      </c>
    </row>
    <row r="6" spans="1:10" ht="21" customHeight="1">
      <c r="A6" s="4" t="s">
        <v>303</v>
      </c>
      <c r="B6" s="1">
        <f>SUMIFS('Entradas'!$F$11:$F$14,'Entradas'!$E$11:$E$14,"COLD")</f>
        <v>540000</v>
      </c>
      <c r="C6" s="3" t="s">
        <v>302</v>
      </c>
    </row>
    <row r="7" spans="1:10" ht="21" customHeight="1">
      <c r="A7" s="4" t="s">
        <v>304</v>
      </c>
      <c r="B7" s="5">
        <f>MAX(0,-MIN('Cascada'!H4:H11))</f>
        <v>70000.0</v>
      </c>
      <c r="C7" s="3" t="s">
        <v>302</v>
      </c>
    </row>
    <row r="8" spans="1:10" ht="21" customHeight="1">
      <c r="A8" s="4" t="s">
        <v>305</v>
      </c>
      <c r="B8" s="5">
        <f>'Cascada'!H11+B7</f>
        <v>60000.0</v>
      </c>
      <c r="C8" s="3" t="s">
        <v>302</v>
      </c>
    </row>
    <row r="9" spans="1:10" ht="21" customHeight="1">
      <c r="A9" s="4" t="s">
        <v>306</v>
      </c>
      <c r="B9" s="5">
        <f>B5-B8</f>
        <v>470000.0</v>
      </c>
      <c r="C9" s="3" t="s">
        <v>302</v>
      </c>
    </row>
    <row r="10" spans="1:10" ht="21" customHeight="1">
      <c r="A10" s="4" t="s">
        <v>307</v>
      </c>
      <c r="B10" s="6">
        <f>IF(B6=0,0,B9/B6)</f>
        <v>0.8703703703703703</v>
      </c>
      <c r="C10" s="3"/>
    </row>
    <row r="11" spans="1:10" ht="21" customHeight="1">
      <c r="A11" s="4" t="s">
        <v>308</v>
      </c>
      <c r="B11" s="1">
        <f>'Entradas'!B4</f>
        <v>10.0</v>
      </c>
      <c r="C11" s="3" t="s">
        <v>309</v>
      </c>
    </row>
    <row r="12" spans="1:10" ht="21" customHeight="1">
      <c r="A12" s="4" t="s">
        <v>310</v>
      </c>
      <c r="B12" s="1">
        <f>B5+B7-B6-B8</f>
        <v>0</v>
      </c>
      <c r="C12" s="3" t="s">
        <v>302</v>
      </c>
    </row>
    <row r="14" spans="1:10" ht="21" customHeight="1">
      <c r="A14" s="4" t="s">
        <v>311</v>
      </c>
      <c r="B14" s="1">
        <f>MAX(1,B5,B6)*0.000000001</f>
        <v>0.00054</v>
      </c>
      <c r="C14" s="3" t="s">
        <v>302</v>
      </c>
    </row>
    <row r="16" spans="1:10" ht="21" customHeight="1">
      <c r="A16" s="4" t="s">
        <v>312</v>
      </c>
      <c r="B16" s="1">
        <f>COUNTIFS('Equipos'!E4:E183,"&gt;"&amp;B14)</f>
        <v>22</v>
      </c>
      <c r="C16" s="3"/>
    </row>
    <row r="18" spans="1:3" ht="21" customHeight="1">
      <c r="A18" s="7" t="s">
        <v>313</v>
      </c>
    </row>
    <row r="19" spans="1:3" ht="21" customHeight="1">
      <c r="A19" s="4" t="s">
        <v>84</v>
      </c>
      <c r="B19" s="1">
        <f>B7/3600</f>
        <v>19.444444444444443</v>
      </c>
      <c r="C19" s="3" t="s">
        <v>314</v>
      </c>
    </row>
    <row r="20" spans="1:3" ht="21" customHeight="1">
      <c r="A20" s="4" t="s">
        <v>83</v>
      </c>
      <c r="B20" s="1">
        <f>B8/3600</f>
        <v>16.666666666666668</v>
      </c>
      <c r="C20" s="3" t="s">
        <v>314</v>
      </c>
    </row>
    <row r="21" spans="1:3" ht="21" customHeight="1">
      <c r="A21" s="4" t="s">
        <v>315</v>
      </c>
      <c r="B21" s="1">
        <f>B9/3600</f>
        <v>130.55555555555554</v>
      </c>
      <c r="C21" s="3" t="s">
        <v>314</v>
      </c>
    </row>
    <row r="24" spans="1:3" ht="21" customHeight="1">
      <c r="A24" s="3" t="s">
        <v>316</v>
      </c>
      <c r="B24" s="3"/>
      <c r="C24" s="3"/>
    </row>
    <row r="25" spans="1:3" ht="21" customHeight="1">
      <c r="A25" s="3"/>
      <c r="B25" s="3"/>
      <c r="C25" s="3"/>
    </row>
    <row r="26" spans="1:3" ht="21" customHeight="1">
      <c r="A26" s="3"/>
      <c r="B26" s="3"/>
      <c r="C26" s="3"/>
    </row>
    <row r="27" spans="1:3" ht="21" customHeight="1">
      <c r="A27" s="3"/>
      <c r="B27" s="3"/>
      <c r="C27" s="3"/>
    </row>
    <row r="28" spans="1:3" ht="21" customHeight="1">
      <c r="A28" s="3"/>
      <c r="B28" s="3"/>
      <c r="C28" s="3"/>
    </row>
    <row r="30" spans="1:3" ht="21" customHeight="1">
      <c r="A30" s="3" t="s">
        <v>317</v>
      </c>
      <c r="B30" s="3"/>
      <c r="C30" s="3"/>
    </row>
    <row r="31" spans="1:3" ht="21" customHeight="1">
      <c r="A31" s="3"/>
      <c r="B31" s="3"/>
      <c r="C31" s="3"/>
    </row>
    <row r="32" spans="1:3" ht="21" customHeight="1">
      <c r="A32" s="3"/>
      <c r="B32" s="3"/>
      <c r="C32" s="3"/>
    </row>
    <row r="33" spans="1:3" ht="21" customHeight="1">
      <c r="A33" s="3"/>
      <c r="B33" s="3"/>
      <c r="C33" s="3"/>
    </row>
    <row r="34" spans="1:3" ht="21" customHeight="1">
      <c r="A34" s="3"/>
      <c r="B34" s="3"/>
      <c r="C34" s="3"/>
    </row>
    <row r="36" spans="1:3" ht="21" customHeight="1">
      <c r="A36" s="3" t="s">
        <v>318</v>
      </c>
      <c r="B36" s="3"/>
      <c r="C36" s="3"/>
    </row>
    <row r="37" spans="1:3" ht="21" customHeight="1">
      <c r="A37" s="3"/>
      <c r="B37" s="3"/>
      <c r="C37" s="3"/>
    </row>
    <row r="38" spans="1:3" ht="21" customHeight="1">
      <c r="A38" s="3"/>
      <c r="B38" s="3"/>
      <c r="C38" s="3"/>
    </row>
    <row r="39" spans="1:3" ht="21" customHeight="1">
      <c r="A39" s="3"/>
      <c r="B39" s="3"/>
      <c r="C39" s="3"/>
    </row>
    <row r="40" spans="1:3" ht="21" customHeight="1">
      <c r="A40" s="3"/>
      <c r="B40" s="3"/>
      <c r="C40" s="3"/>
    </row>
    <row r="42" spans="1:3" ht="21" customHeight="1">
      <c r="A42" s="3" t="s">
        <v>319</v>
      </c>
      <c r="B42" s="3"/>
      <c r="C42" s="3"/>
    </row>
    <row r="43" spans="1:3" ht="21" customHeight="1">
      <c r="A43" s="3"/>
      <c r="B43" s="3"/>
      <c r="C43" s="3"/>
    </row>
    <row r="44" spans="1:3" ht="21" customHeight="1">
      <c r="A44" s="3"/>
      <c r="B44" s="3"/>
      <c r="C44" s="3"/>
    </row>
    <row r="45" spans="1:3" ht="21" customHeight="1">
      <c r="A45" s="3"/>
      <c r="B45" s="3"/>
      <c r="C45" s="3"/>
    </row>
  </sheetData>
  <mergeCells count="6">
    <mergeCell ref="A1:J1"/>
    <mergeCell ref="A2:J2"/>
    <mergeCell ref="A24:C28"/>
    <mergeCell ref="A30:C34"/>
    <mergeCell ref="A36:C40"/>
    <mergeCell ref="A42:C45"/>
  </mergeCells>
  <pageMargins left="0.3" right="0.3" top="0.4" bottom="0.4" header="0.3" footer="0.3"/>
  <pageSetup paperSize="9" fitToHeight="2" orientation="landscape"/>
  <headerFooter>
    <oddFooter>&amp;LPinch Lab&amp;RPágina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275C9"/>
    <pageSetUpPr fitToPage="1"/>
  </sheetPr>
  <dimension ref="A1:AE14"/>
  <sheetViews>
    <sheetView showGridLines="0" zoomScale="90" zoomScaleNormal="9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21" customHeight="1"/>
  <cols>
    <col min="1" max="1" width="21.7109375" customWidth="1"/>
    <col min="2" max="31" width="15.7109375" style="1" customWidth="1"/>
  </cols>
  <sheetData>
    <row r="1" spans="1:11" ht="3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1" ht="33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spans="1:11" ht="21" customHeight="1">
      <c r="A4" s="4" t="s">
        <v>2</v>
      </c>
      <c r="B4" s="8">
        <v>10</v>
      </c>
    </row>
    <row r="5" spans="1:11" ht="21" customHeight="1">
      <c r="A5" s="4" t="s">
        <v>3</v>
      </c>
      <c r="B5" s="8">
        <v>0</v>
      </c>
      <c r="C5" s="3" t="s">
        <v>4</v>
      </c>
      <c r="D5" s="3"/>
      <c r="E5" s="3"/>
      <c r="F5" s="3"/>
      <c r="G5" s="3"/>
      <c r="H5" s="3"/>
    </row>
    <row r="7" spans="1:11" ht="21" customHeight="1">
      <c r="A7" s="4" t="str">
        <f>IF(AND(ISNUMBER(B4),B4&gt;=0,ISNUMBER(B5),B5&gt;=0,COUNT(B11:D14)=12,MIN(B11:B14)&gt;0,MIN(C11:D14)&gt;=-273.15,SUMPRODUCT(--(C11:C14=D11:D14))=0,COUNTA(A11:A14)=4,SUMPRODUCT(1/COUNTIF(A11:A14,A11:A14))=4),"Datos válidos","REVISAR ENTRADAS: números, CP, Tin ≠ Tout e identificadores únicos")</f>
        <v>Datos válidos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21" customHeight="1">
      <c r="A8" s="3" t="s">
        <v>5</v>
      </c>
      <c r="B8" s="3"/>
      <c r="C8" s="3"/>
      <c r="D8" s="3"/>
      <c r="E8" s="3"/>
      <c r="F8" s="3"/>
      <c r="G8" s="3"/>
      <c r="H8" s="3"/>
      <c r="I8" s="3"/>
      <c r="J8" s="3"/>
      <c r="K8" s="3"/>
    </row>
    <row r="10" spans="1:11" ht="36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7" t="s">
        <v>11</v>
      </c>
      <c r="G10" s="7" t="s">
        <v>12</v>
      </c>
      <c r="H10" s="7" t="s">
        <v>13</v>
      </c>
      <c r="I10" s="7" t="s">
        <v>14</v>
      </c>
      <c r="J10" s="7" t="s">
        <v>15</v>
      </c>
      <c r="K10" s="7" t="s">
        <v>16</v>
      </c>
    </row>
    <row r="11" spans="1:11" ht="21" customHeight="1">
      <c r="A11" s="8" t="s">
        <v>17</v>
      </c>
      <c r="B11" s="8">
        <v>1000</v>
      </c>
      <c r="C11" s="8">
        <v>250</v>
      </c>
      <c r="D11" s="8">
        <v>120</v>
      </c>
      <c r="E11" s="4" t="str">
        <f>IF(C11&gt;D11,"HOT",IF(C11&lt;D11,"COLD","ERROR"))</f>
        <v>HOT</v>
      </c>
      <c r="F11" s="1">
        <f>B11*ABS(C11-D11)</f>
        <v>130000</v>
      </c>
      <c r="G11" s="1">
        <f>B11*(C11-D11)</f>
        <v>130000</v>
      </c>
      <c r="H11" s="1">
        <f>MIN(C11,D11)</f>
        <v>120</v>
      </c>
      <c r="I11" s="1">
        <f>MAX(C11,D11)</f>
        <v>250</v>
      </c>
      <c r="J11" s="1">
        <f>H11+IF(E11="HOT",-$B$4/2,$B$4/2)</f>
        <v>115.0</v>
      </c>
      <c r="K11" s="1">
        <f>I11+IF(E11="HOT",-$B$4/2,$B$4/2)</f>
        <v>245.0</v>
      </c>
    </row>
    <row r="12" spans="1:11" ht="21" customHeight="1">
      <c r="A12" s="8" t="s">
        <v>18</v>
      </c>
      <c r="B12" s="8">
        <v>4000</v>
      </c>
      <c r="C12" s="8">
        <v>200</v>
      </c>
      <c r="D12" s="8">
        <v>100</v>
      </c>
      <c r="E12" s="4" t="str">
        <f>IF(C12&gt;D12,"HOT",IF(C12&lt;D12,"COLD","ERROR"))</f>
        <v>HOT</v>
      </c>
      <c r="F12" s="1">
        <f>B12*ABS(C12-D12)</f>
        <v>400000</v>
      </c>
      <c r="G12" s="1">
        <f>B12*(C12-D12)</f>
        <v>400000</v>
      </c>
      <c r="H12" s="1">
        <f>MIN(C12,D12)</f>
        <v>100</v>
      </c>
      <c r="I12" s="1">
        <f>MAX(C12,D12)</f>
        <v>200</v>
      </c>
      <c r="J12" s="1">
        <f>H12+IF(E12="HOT",-$B$4/2,$B$4/2)</f>
        <v>95.0</v>
      </c>
      <c r="K12" s="1">
        <f>I12+IF(E12="HOT",-$B$4/2,$B$4/2)</f>
        <v>195.0</v>
      </c>
    </row>
    <row r="13" spans="1:11" ht="21" customHeight="1">
      <c r="A13" s="8" t="s">
        <v>19</v>
      </c>
      <c r="B13" s="8">
        <v>3000</v>
      </c>
      <c r="C13" s="8">
        <v>90</v>
      </c>
      <c r="D13" s="8">
        <v>150</v>
      </c>
      <c r="E13" s="4" t="str">
        <f>IF(C13&gt;D13,"HOT",IF(C13&lt;D13,"COLD","ERROR"))</f>
        <v>COLD</v>
      </c>
      <c r="F13" s="1">
        <f>B13*ABS(C13-D13)</f>
        <v>180000</v>
      </c>
      <c r="G13" s="1">
        <f>B13*(C13-D13)</f>
        <v>-180000</v>
      </c>
      <c r="H13" s="1">
        <f>MIN(C13,D13)</f>
        <v>90</v>
      </c>
      <c r="I13" s="1">
        <f>MAX(C13,D13)</f>
        <v>150</v>
      </c>
      <c r="J13" s="1">
        <f>H13+IF(E13="HOT",-$B$4/2,$B$4/2)</f>
        <v>95.0</v>
      </c>
      <c r="K13" s="1">
        <f>I13+IF(E13="HOT",-$B$4/2,$B$4/2)</f>
        <v>155.0</v>
      </c>
    </row>
    <row r="14" spans="1:11" ht="21" customHeight="1">
      <c r="A14" s="8" t="s">
        <v>20</v>
      </c>
      <c r="B14" s="8">
        <v>6000</v>
      </c>
      <c r="C14" s="8">
        <v>130</v>
      </c>
      <c r="D14" s="8">
        <v>190</v>
      </c>
      <c r="E14" s="4" t="str">
        <f>IF(C14&gt;D14,"HOT",IF(C14&lt;D14,"COLD","ERROR"))</f>
        <v>COLD</v>
      </c>
      <c r="F14" s="1">
        <f>B14*ABS(C14-D14)</f>
        <v>360000</v>
      </c>
      <c r="G14" s="1">
        <f>B14*(C14-D14)</f>
        <v>-360000</v>
      </c>
      <c r="H14" s="1">
        <f>MIN(C14,D14)</f>
        <v>130</v>
      </c>
      <c r="I14" s="1">
        <f>MAX(C14,D14)</f>
        <v>190</v>
      </c>
      <c r="J14" s="1">
        <f>H14+IF(E14="HOT",-$B$4/2,$B$4/2)</f>
        <v>135.0</v>
      </c>
      <c r="K14" s="1">
        <f>I14+IF(E14="HOT",-$B$4/2,$B$4/2)</f>
        <v>195.0</v>
      </c>
    </row>
  </sheetData>
  <autoFilter ref="A10:K14"/>
  <mergeCells count="5">
    <mergeCell ref="A1:J1"/>
    <mergeCell ref="A2:J2"/>
    <mergeCell ref="C5:H5"/>
    <mergeCell ref="A7:K7"/>
    <mergeCell ref="A8:K8"/>
  </mergeCells>
  <conditionalFormatting sqref="E11:E14">
    <cfRule type="containsText" dxfId="0" priority="1" operator="containsText" text="HOT">
      <formula>NOT(ISERROR(SEARCH("HOT",E11)))</formula>
    </cfRule>
    <cfRule type="containsText" dxfId="1" priority="2" operator="containsText" text="COLD">
      <formula>NOT(ISERROR(SEARCH("COLD",E11)))</formula>
    </cfRule>
  </conditionalFormatting>
  <dataValidations count="3">
    <dataValidation type="decimal" operator="greaterThanOrEqual" showInputMessage="1" showErrorMessage="1" error="Introduce un número no negativo." sqref="B4:B5">
      <formula1>0</formula1>
    </dataValidation>
    <dataValidation type="decimal" operator="greaterThan" showInputMessage="1" showErrorMessage="1" sqref="B11:B14">
      <formula1>0</formula1>
    </dataValidation>
    <dataValidation type="decimal" operator="greaterThanOrEqual" showInputMessage="1" showErrorMessage="1" sqref="C11:D14">
      <formula1>-273.15</formula1>
    </dataValidation>
  </dataValidations>
  <pageMargins left="0.3" right="0.3" top="0.4" bottom="0.4" header="0.3" footer="0.3"/>
  <pageSetup paperSize="9" fitToHeight="0" orientation="landscape"/>
  <headerFooter>
    <oddFooter>&amp;LPinch Lab&amp;RPágina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8B8CA"/>
    <pageSetUpPr fitToPage="1"/>
  </sheetPr>
  <dimension ref="A1:AE7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1" customHeight="1"/>
  <cols>
    <col min="1" max="1" width="23.7109375" customWidth="1"/>
    <col min="2" max="5" width="15.7109375" style="1" customWidth="1"/>
    <col min="6" max="9" width="20.7109375" customWidth="1"/>
    <col min="10" max="31" width="15.7109375" style="1" customWidth="1"/>
  </cols>
  <sheetData>
    <row r="1" spans="1:10" ht="35" customHeight="1">
      <c r="A1" s="2" t="s">
        <v>80</v>
      </c>
      <c r="B1" s="2"/>
      <c r="C1" s="2"/>
      <c r="D1" s="2"/>
      <c r="E1" s="2"/>
      <c r="F1" s="2"/>
      <c r="G1" s="2"/>
      <c r="H1" s="2"/>
      <c r="I1" s="2"/>
      <c r="J1" s="2"/>
    </row>
    <row r="2" spans="1:10" ht="33" customHeight="1">
      <c r="A2" s="3" t="s">
        <v>81</v>
      </c>
      <c r="B2" s="3"/>
      <c r="C2" s="3"/>
      <c r="D2" s="3"/>
      <c r="E2" s="3"/>
      <c r="F2" s="3"/>
      <c r="G2" s="3"/>
      <c r="H2" s="3"/>
      <c r="I2" s="3"/>
      <c r="J2" s="3"/>
    </row>
    <row r="3" spans="1:10" ht="36" customHeight="1">
      <c r="A3" s="7" t="s">
        <v>82</v>
      </c>
      <c r="B3" s="7" t="str">
        <f>'Entradas'!A11</f>
        <v>H1</v>
      </c>
      <c r="C3" s="7" t="str">
        <f>'Entradas'!A12</f>
        <v>H2</v>
      </c>
      <c r="D3" s="7" t="str">
        <f>'Entradas'!A13</f>
        <v>C3</v>
      </c>
      <c r="E3" s="7" t="str">
        <f>'Entradas'!A14</f>
        <v>C4</v>
      </c>
      <c r="F3" s="7" t="s">
        <v>83</v>
      </c>
      <c r="G3" s="7" t="s">
        <v>84</v>
      </c>
      <c r="H3" s="7" t="s">
        <v>85</v>
      </c>
      <c r="I3" s="7" t="s">
        <v>86</v>
      </c>
    </row>
    <row r="4" spans="1:10" ht="21" customHeight="1">
      <c r="A4" s="4" t="str">
        <f>'Entradas'!A11</f>
        <v>H1</v>
      </c>
      <c r="B4" s="1">
        <f>SUMPRODUCT('Tramos_red'!$M$4:$M$18,'Tramos_red'!$T$4:$T$18,'Tramos_red'!$X$4:$X$18)</f>
        <v>0.0</v>
      </c>
      <c r="C4" s="1">
        <f>SUMPRODUCT('Tramos_red'!$M$4:$M$18,'Tramos_red'!$T$4:$T$18,'Tramos_red'!$Y$4:$Y$18)</f>
        <v>0.0</v>
      </c>
      <c r="D4" s="1">
        <f>SUMPRODUCT('Tramos_red'!$M$4:$M$18,'Tramos_red'!$T$4:$T$18,'Tramos_red'!$Z$4:$Z$18)</f>
        <v>32000.0</v>
      </c>
      <c r="E4" s="1">
        <f>SUMPRODUCT('Tramos_red'!$M$4:$M$18,'Tramos_red'!$T$4:$T$18,'Tramos_red'!$AA$4:$AA$18)</f>
        <v>98000.0</v>
      </c>
      <c r="F4" s="1">
        <f>SUMPRODUCT('Tramos_red'!$N$4:$N$18,'Tramos_red'!$T$4:$T$18)</f>
        <v>0.0</v>
      </c>
      <c r="G4" s="1">
        <f>SUMPRODUCT('Tramos_red'!$O$4:$O$18,'Tramos_red'!$X$4:$X$18)</f>
        <v>0.0</v>
      </c>
      <c r="H4" s="1">
        <f>'Entradas'!F11</f>
        <v>130000</v>
      </c>
      <c r="I4" s="1">
        <f>IF('Entradas'!E11="HOT",SUM(B4:E4)+F4,SUM(B$4:B$7)+G4)-H4</f>
        <v>0.0</v>
      </c>
    </row>
    <row r="5" spans="1:10" ht="21" customHeight="1">
      <c r="A5" s="4" t="str">
        <f>'Entradas'!A12</f>
        <v>H2</v>
      </c>
      <c r="B5" s="1">
        <f>SUMPRODUCT('Tramos_red'!$M$4:$M$18,'Tramos_red'!$U$4:$U$18,'Tramos_red'!$X$4:$X$18)</f>
        <v>0.0</v>
      </c>
      <c r="C5" s="1">
        <f>SUMPRODUCT('Tramos_red'!$M$4:$M$18,'Tramos_red'!$U$4:$U$18,'Tramos_red'!$Y$4:$Y$18)</f>
        <v>0.0</v>
      </c>
      <c r="D5" s="1">
        <f>SUMPRODUCT('Tramos_red'!$M$4:$M$18,'Tramos_red'!$U$4:$U$18,'Tramos_red'!$Z$4:$Z$18)</f>
        <v>148000.0</v>
      </c>
      <c r="E5" s="1">
        <f>SUMPRODUCT('Tramos_red'!$M$4:$M$18,'Tramos_red'!$U$4:$U$18,'Tramos_red'!$AA$4:$AA$18)</f>
        <v>192000.0</v>
      </c>
      <c r="F5" s="1">
        <f>SUMPRODUCT('Tramos_red'!$N$4:$N$18,'Tramos_red'!$U$4:$U$18)</f>
        <v>60000.0</v>
      </c>
      <c r="G5" s="1">
        <f>SUMPRODUCT('Tramos_red'!$O$4:$O$18,'Tramos_red'!$Y$4:$Y$18)</f>
        <v>0.0</v>
      </c>
      <c r="H5" s="1">
        <f>'Entradas'!F12</f>
        <v>400000</v>
      </c>
      <c r="I5" s="1">
        <f>IF('Entradas'!E12="HOT",SUM(B5:E5)+F5,SUM(C$4:C$7)+G5)-H5</f>
        <v>0.0</v>
      </c>
    </row>
    <row r="6" spans="1:10" ht="21" customHeight="1">
      <c r="A6" s="4" t="str">
        <f>'Entradas'!A13</f>
        <v>C3</v>
      </c>
      <c r="B6" s="1">
        <f>SUMPRODUCT('Tramos_red'!$M$4:$M$18,'Tramos_red'!$V$4:$V$18,'Tramos_red'!$X$4:$X$18)</f>
        <v>0.0</v>
      </c>
      <c r="C6" s="1">
        <f>SUMPRODUCT('Tramos_red'!$M$4:$M$18,'Tramos_red'!$V$4:$V$18,'Tramos_red'!$Y$4:$Y$18)</f>
        <v>0.0</v>
      </c>
      <c r="D6" s="1">
        <f>SUMPRODUCT('Tramos_red'!$M$4:$M$18,'Tramos_red'!$V$4:$V$18,'Tramos_red'!$Z$4:$Z$18)</f>
        <v>0.0</v>
      </c>
      <c r="E6" s="1">
        <f>SUMPRODUCT('Tramos_red'!$M$4:$M$18,'Tramos_red'!$V$4:$V$18,'Tramos_red'!$AA$4:$AA$18)</f>
        <v>0.0</v>
      </c>
      <c r="F6" s="1">
        <f>SUMPRODUCT('Tramos_red'!$N$4:$N$18,'Tramos_red'!$V$4:$V$18)</f>
        <v>0.0</v>
      </c>
      <c r="G6" s="1">
        <f>SUMPRODUCT('Tramos_red'!$O$4:$O$18,'Tramos_red'!$Z$4:$Z$18)</f>
        <v>0.0</v>
      </c>
      <c r="H6" s="1">
        <f>'Entradas'!F13</f>
        <v>180000</v>
      </c>
      <c r="I6" s="1">
        <f>IF('Entradas'!E13="HOT",SUM(B6:E6)+F6,SUM(D$4:D$7)+G6)-H6</f>
        <v>0.0</v>
      </c>
    </row>
    <row r="7" spans="1:10" ht="21" customHeight="1">
      <c r="A7" s="4" t="str">
        <f>'Entradas'!A14</f>
        <v>C4</v>
      </c>
      <c r="B7" s="1">
        <f>SUMPRODUCT('Tramos_red'!$M$4:$M$18,'Tramos_red'!$W$4:$W$18,'Tramos_red'!$X$4:$X$18)</f>
        <v>0.0</v>
      </c>
      <c r="C7" s="1">
        <f>SUMPRODUCT('Tramos_red'!$M$4:$M$18,'Tramos_red'!$W$4:$W$18,'Tramos_red'!$Y$4:$Y$18)</f>
        <v>0.0</v>
      </c>
      <c r="D7" s="1">
        <f>SUMPRODUCT('Tramos_red'!$M$4:$M$18,'Tramos_red'!$W$4:$W$18,'Tramos_red'!$Z$4:$Z$18)</f>
        <v>0.0</v>
      </c>
      <c r="E7" s="1">
        <f>SUMPRODUCT('Tramos_red'!$M$4:$M$18,'Tramos_red'!$W$4:$W$18,'Tramos_red'!$AA$4:$AA$18)</f>
        <v>0.0</v>
      </c>
      <c r="F7" s="1">
        <f>SUMPRODUCT('Tramos_red'!$N$4:$N$18,'Tramos_red'!$W$4:$W$18)</f>
        <v>0.0</v>
      </c>
      <c r="G7" s="1">
        <f>SUMPRODUCT('Tramos_red'!$O$4:$O$18,'Tramos_red'!$AA$4:$AA$18)</f>
        <v>70000.0</v>
      </c>
      <c r="H7" s="1">
        <f>'Entradas'!F14</f>
        <v>360000</v>
      </c>
      <c r="I7" s="1">
        <f>IF('Entradas'!E14="HOT",SUM(B7:E7)+F7,SUM(E$4:E$7)+G7)-H7</f>
        <v>0.0</v>
      </c>
    </row>
  </sheetData>
  <mergeCells count="2">
    <mergeCell ref="A1:J1"/>
    <mergeCell ref="A2:J2"/>
  </mergeCells>
  <conditionalFormatting sqref="B4:E7">
    <cfRule type="colorScale" priority="1">
      <colorScale>
        <cfvo type="min" val="0"/>
        <cfvo type="percentile" val="50"/>
        <cfvo type="max" val="0"/>
        <color rgb="FFF5F9FD"/>
        <color rgb="FF8BBDEB"/>
        <color rgb="FF2275C9"/>
      </colorScale>
    </cfRule>
  </conditionalFormatting>
  <conditionalFormatting sqref="I4:I7">
    <cfRule type="cellIs" dxfId="2" priority="2" operator="notBetween">
      <formula>-0.0054</formula>
      <formula>0.0054</formula>
    </cfRule>
  </conditionalFormatting>
  <pageMargins left="0.3" right="0.3" top="0.4" bottom="0.4" header="0.3" footer="0.3"/>
  <pageSetup paperSize="9" fitToHeight="0" orientation="landscape"/>
  <headerFooter>
    <oddFooter>&amp;LPinch Lab&amp;RPágina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8B8CA"/>
    <pageSetUpPr fitToPage="1"/>
  </sheetPr>
  <dimension ref="A1:AE183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1" customHeight="1"/>
  <cols>
    <col min="1" max="31" width="15.7109375" style="1" customWidth="1"/>
  </cols>
  <sheetData>
    <row r="1" spans="1:17" ht="35" customHeight="1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</row>
    <row r="2" spans="1:17" ht="33" customHeight="1">
      <c r="A2" s="3" t="s">
        <v>88</v>
      </c>
      <c r="B2" s="3"/>
      <c r="C2" s="3"/>
      <c r="D2" s="3"/>
      <c r="E2" s="3"/>
      <c r="F2" s="3"/>
      <c r="G2" s="3"/>
      <c r="H2" s="3"/>
      <c r="I2" s="3"/>
      <c r="J2" s="3"/>
    </row>
    <row r="3" spans="1:17" ht="36" customHeight="1">
      <c r="A3" s="7" t="s">
        <v>89</v>
      </c>
      <c r="B3" s="7" t="s">
        <v>90</v>
      </c>
      <c r="C3" s="7" t="s">
        <v>91</v>
      </c>
      <c r="D3" s="7" t="s">
        <v>92</v>
      </c>
      <c r="E3" s="7" t="s">
        <v>93</v>
      </c>
      <c r="F3" s="7" t="s">
        <v>94</v>
      </c>
      <c r="G3" s="7" t="s">
        <v>95</v>
      </c>
      <c r="H3" s="7" t="s">
        <v>96</v>
      </c>
      <c r="I3" s="7" t="s">
        <v>97</v>
      </c>
      <c r="J3" s="7" t="s">
        <v>98</v>
      </c>
      <c r="K3" s="7" t="s">
        <v>99</v>
      </c>
      <c r="L3" s="7" t="s">
        <v>100</v>
      </c>
      <c r="M3" s="7" t="s">
        <v>101</v>
      </c>
      <c r="N3" s="7" t="s">
        <v>68</v>
      </c>
      <c r="O3" s="7" t="s">
        <v>69</v>
      </c>
      <c r="P3" s="7" t="s">
        <v>70</v>
      </c>
      <c r="Q3" s="7" t="s">
        <v>102</v>
      </c>
    </row>
    <row r="4" spans="1:17" ht="21" customHeight="1">
      <c r="A4" s="4" t="s">
        <v>103</v>
      </c>
      <c r="B4" s="1">
        <v>1</v>
      </c>
      <c r="C4" s="4" t="str">
        <f>'Entradas'!A11</f>
        <v>H1</v>
      </c>
      <c r="D4" s="4" t="str">
        <f>'Entradas'!A12</f>
        <v>H2</v>
      </c>
      <c r="E4" s="1">
        <f>'Tramos_red'!M4*'Tramos_red'!T4*'Tramos_red'!Y4</f>
        <v>0.0</v>
      </c>
      <c r="F4" s="1">
        <f>IF(E4&gt;'Resumen'!$B$14,'Tramos_red'!J4,"")</f>
        <v/>
      </c>
      <c r="G4" s="1">
        <f>IF(E4&gt;'Resumen'!$B$14,'Tramos_red'!I4,"")</f>
        <v/>
      </c>
      <c r="H4" s="1">
        <f>IF(E4&gt;'Resumen'!$B$14,'Tramos_red'!K4,"")</f>
        <v/>
      </c>
      <c r="I4" s="1">
        <f>IF(E4&gt;'Resumen'!$B$14,'Tramos_red'!L4,"")</f>
        <v/>
      </c>
      <c r="J4" s="6">
        <f>IF(E4&gt;'Resumen'!$B$14,'Tramos_red'!Y4,0)</f>
        <v>0</v>
      </c>
      <c r="K4" s="6">
        <f>IF(E4&gt;'Resumen'!$B$14,'Tramos_red'!T4,0)</f>
        <v>0</v>
      </c>
      <c r="L4" s="1">
        <f>J4*'Entradas'!B11</f>
        <v>0</v>
      </c>
      <c r="M4" s="1">
        <f>K4*'Entradas'!B12</f>
        <v>0</v>
      </c>
      <c r="N4" s="1">
        <f>IF(E4&gt;'Resumen'!$B$14,'Tramos_red'!P4,0)</f>
        <v>0</v>
      </c>
      <c r="O4" s="1">
        <f>IF(E4&gt;'Resumen'!$B$14,'Tramos_red'!Q4,0)</f>
        <v>0</v>
      </c>
      <c r="P4" s="1">
        <f>IF(E4&gt;'Resumen'!$B$14,'Tramos_red'!R4,0)</f>
        <v>0</v>
      </c>
      <c r="Q4" s="1">
        <f>IF(E4&lt;='Resumen'!$B$14,0,IF('Entradas'!$B$5=0,"sin U",IF(P4=0,"infinita",E4/('Entradas'!$B$5*P4))))</f>
        <v>0</v>
      </c>
    </row>
    <row r="5" spans="1:17" ht="21" customHeight="1">
      <c r="A5" s="4" t="s">
        <v>104</v>
      </c>
      <c r="B5" s="1">
        <v>1</v>
      </c>
      <c r="C5" s="4" t="str">
        <f>'Entradas'!A11</f>
        <v>H1</v>
      </c>
      <c r="D5" s="4" t="str">
        <f>'Entradas'!A13</f>
        <v>C3</v>
      </c>
      <c r="E5" s="1">
        <f>'Tramos_red'!M4*'Tramos_red'!T4*'Tramos_red'!Z4</f>
        <v>0.0</v>
      </c>
      <c r="F5" s="1">
        <f>IF(E5&gt;'Resumen'!$B$14,'Tramos_red'!J4,"")</f>
        <v/>
      </c>
      <c r="G5" s="1">
        <f>IF(E5&gt;'Resumen'!$B$14,'Tramos_red'!I4,"")</f>
        <v/>
      </c>
      <c r="H5" s="1">
        <f>IF(E5&gt;'Resumen'!$B$14,'Tramos_red'!K4,"")</f>
        <v/>
      </c>
      <c r="I5" s="1">
        <f>IF(E5&gt;'Resumen'!$B$14,'Tramos_red'!L4,"")</f>
        <v/>
      </c>
      <c r="J5" s="6">
        <f>IF(E5&gt;'Resumen'!$B$14,'Tramos_red'!Z4,0)</f>
        <v>0</v>
      </c>
      <c r="K5" s="6">
        <f>IF(E5&gt;'Resumen'!$B$14,'Tramos_red'!T4,0)</f>
        <v>0</v>
      </c>
      <c r="L5" s="1">
        <f>J5*'Entradas'!B11</f>
        <v>0</v>
      </c>
      <c r="M5" s="1">
        <f>K5*'Entradas'!B13</f>
        <v>0</v>
      </c>
      <c r="N5" s="1">
        <f>IF(E5&gt;'Resumen'!$B$14,'Tramos_red'!P4,0)</f>
        <v>0</v>
      </c>
      <c r="O5" s="1">
        <f>IF(E5&gt;'Resumen'!$B$14,'Tramos_red'!Q4,0)</f>
        <v>0</v>
      </c>
      <c r="P5" s="1">
        <f>IF(E5&gt;'Resumen'!$B$14,'Tramos_red'!R4,0)</f>
        <v>0</v>
      </c>
      <c r="Q5" s="1">
        <f>IF(E5&lt;='Resumen'!$B$14,0,IF('Entradas'!$B$5=0,"sin U",IF(P5=0,"infinita",E5/('Entradas'!$B$5*P5))))</f>
        <v>0</v>
      </c>
    </row>
    <row r="6" spans="1:17" ht="21" customHeight="1">
      <c r="A6" s="4" t="s">
        <v>105</v>
      </c>
      <c r="B6" s="1">
        <v>1</v>
      </c>
      <c r="C6" s="4" t="str">
        <f>'Entradas'!A11</f>
        <v>H1</v>
      </c>
      <c r="D6" s="4" t="str">
        <f>'Entradas'!A14</f>
        <v>C4</v>
      </c>
      <c r="E6" s="1">
        <f>'Tramos_red'!M4*'Tramos_red'!T4*'Tramos_red'!AA4</f>
        <v>0.0</v>
      </c>
      <c r="F6" s="1">
        <f>IF(E6&gt;'Resumen'!$B$14,'Tramos_red'!J4,"")</f>
        <v/>
      </c>
      <c r="G6" s="1">
        <f>IF(E6&gt;'Resumen'!$B$14,'Tramos_red'!I4,"")</f>
        <v/>
      </c>
      <c r="H6" s="1">
        <f>IF(E6&gt;'Resumen'!$B$14,'Tramos_red'!K4,"")</f>
        <v/>
      </c>
      <c r="I6" s="1">
        <f>IF(E6&gt;'Resumen'!$B$14,'Tramos_red'!L4,"")</f>
        <v/>
      </c>
      <c r="J6" s="6">
        <f>IF(E6&gt;'Resumen'!$B$14,'Tramos_red'!AA4,0)</f>
        <v>0</v>
      </c>
      <c r="K6" s="6">
        <f>IF(E6&gt;'Resumen'!$B$14,'Tramos_red'!T4,0)</f>
        <v>0</v>
      </c>
      <c r="L6" s="1">
        <f>J6*'Entradas'!B11</f>
        <v>0</v>
      </c>
      <c r="M6" s="1">
        <f>K6*'Entradas'!B14</f>
        <v>0</v>
      </c>
      <c r="N6" s="1">
        <f>IF(E6&gt;'Resumen'!$B$14,'Tramos_red'!P4,0)</f>
        <v>0</v>
      </c>
      <c r="O6" s="1">
        <f>IF(E6&gt;'Resumen'!$B$14,'Tramos_red'!Q4,0)</f>
        <v>0</v>
      </c>
      <c r="P6" s="1">
        <f>IF(E6&gt;'Resumen'!$B$14,'Tramos_red'!R4,0)</f>
        <v>0</v>
      </c>
      <c r="Q6" s="1">
        <f>IF(E6&lt;='Resumen'!$B$14,0,IF('Entradas'!$B$5=0,"sin U",IF(P6=0,"infinita",E6/('Entradas'!$B$5*P6))))</f>
        <v>0</v>
      </c>
    </row>
    <row r="7" spans="1:17" ht="21" customHeight="1">
      <c r="A7" s="4" t="s">
        <v>106</v>
      </c>
      <c r="B7" s="1">
        <v>1</v>
      </c>
      <c r="C7" s="4" t="str">
        <f>'Entradas'!A12</f>
        <v>H2</v>
      </c>
      <c r="D7" s="4" t="str">
        <f>'Entradas'!A11</f>
        <v>H1</v>
      </c>
      <c r="E7" s="1">
        <f>'Tramos_red'!M4*'Tramos_red'!U4*'Tramos_red'!X4</f>
        <v>0.0</v>
      </c>
      <c r="F7" s="1">
        <f>IF(E7&gt;'Resumen'!$B$14,'Tramos_red'!J4,"")</f>
        <v/>
      </c>
      <c r="G7" s="1">
        <f>IF(E7&gt;'Resumen'!$B$14,'Tramos_red'!I4,"")</f>
        <v/>
      </c>
      <c r="H7" s="1">
        <f>IF(E7&gt;'Resumen'!$B$14,'Tramos_red'!K4,"")</f>
        <v/>
      </c>
      <c r="I7" s="1">
        <f>IF(E7&gt;'Resumen'!$B$14,'Tramos_red'!L4,"")</f>
        <v/>
      </c>
      <c r="J7" s="6">
        <f>IF(E7&gt;'Resumen'!$B$14,'Tramos_red'!X4,0)</f>
        <v>0</v>
      </c>
      <c r="K7" s="6">
        <f>IF(E7&gt;'Resumen'!$B$14,'Tramos_red'!U4,0)</f>
        <v>0</v>
      </c>
      <c r="L7" s="1">
        <f>J7*'Entradas'!B12</f>
        <v>0</v>
      </c>
      <c r="M7" s="1">
        <f>K7*'Entradas'!B11</f>
        <v>0</v>
      </c>
      <c r="N7" s="1">
        <f>IF(E7&gt;'Resumen'!$B$14,'Tramos_red'!P4,0)</f>
        <v>0</v>
      </c>
      <c r="O7" s="1">
        <f>IF(E7&gt;'Resumen'!$B$14,'Tramos_red'!Q4,0)</f>
        <v>0</v>
      </c>
      <c r="P7" s="1">
        <f>IF(E7&gt;'Resumen'!$B$14,'Tramos_red'!R4,0)</f>
        <v>0</v>
      </c>
      <c r="Q7" s="1">
        <f>IF(E7&lt;='Resumen'!$B$14,0,IF('Entradas'!$B$5=0,"sin U",IF(P7=0,"infinita",E7/('Entradas'!$B$5*P7))))</f>
        <v>0</v>
      </c>
    </row>
    <row r="8" spans="1:17" ht="21" customHeight="1">
      <c r="A8" s="4" t="s">
        <v>107</v>
      </c>
      <c r="B8" s="1">
        <v>1</v>
      </c>
      <c r="C8" s="4" t="str">
        <f>'Entradas'!A12</f>
        <v>H2</v>
      </c>
      <c r="D8" s="4" t="str">
        <f>'Entradas'!A13</f>
        <v>C3</v>
      </c>
      <c r="E8" s="1">
        <f>'Tramos_red'!M4*'Tramos_red'!U4*'Tramos_red'!Z4</f>
        <v>0.0</v>
      </c>
      <c r="F8" s="1">
        <f>IF(E8&gt;'Resumen'!$B$14,'Tramos_red'!J4,"")</f>
        <v/>
      </c>
      <c r="G8" s="1">
        <f>IF(E8&gt;'Resumen'!$B$14,'Tramos_red'!I4,"")</f>
        <v/>
      </c>
      <c r="H8" s="1">
        <f>IF(E8&gt;'Resumen'!$B$14,'Tramos_red'!K4,"")</f>
        <v/>
      </c>
      <c r="I8" s="1">
        <f>IF(E8&gt;'Resumen'!$B$14,'Tramos_red'!L4,"")</f>
        <v/>
      </c>
      <c r="J8" s="6">
        <f>IF(E8&gt;'Resumen'!$B$14,'Tramos_red'!Z4,0)</f>
        <v>0</v>
      </c>
      <c r="K8" s="6">
        <f>IF(E8&gt;'Resumen'!$B$14,'Tramos_red'!U4,0)</f>
        <v>0</v>
      </c>
      <c r="L8" s="1">
        <f>J8*'Entradas'!B12</f>
        <v>0</v>
      </c>
      <c r="M8" s="1">
        <f>K8*'Entradas'!B13</f>
        <v>0</v>
      </c>
      <c r="N8" s="1">
        <f>IF(E8&gt;'Resumen'!$B$14,'Tramos_red'!P4,0)</f>
        <v>0</v>
      </c>
      <c r="O8" s="1">
        <f>IF(E8&gt;'Resumen'!$B$14,'Tramos_red'!Q4,0)</f>
        <v>0</v>
      </c>
      <c r="P8" s="1">
        <f>IF(E8&gt;'Resumen'!$B$14,'Tramos_red'!R4,0)</f>
        <v>0</v>
      </c>
      <c r="Q8" s="1">
        <f>IF(E8&lt;='Resumen'!$B$14,0,IF('Entradas'!$B$5=0,"sin U",IF(P8=0,"infinita",E8/('Entradas'!$B$5*P8))))</f>
        <v>0</v>
      </c>
    </row>
    <row r="9" spans="1:17" ht="21" customHeight="1">
      <c r="A9" s="4" t="s">
        <v>108</v>
      </c>
      <c r="B9" s="1">
        <v>1</v>
      </c>
      <c r="C9" s="4" t="str">
        <f>'Entradas'!A12</f>
        <v>H2</v>
      </c>
      <c r="D9" s="4" t="str">
        <f>'Entradas'!A14</f>
        <v>C4</v>
      </c>
      <c r="E9" s="1">
        <f>'Tramos_red'!M4*'Tramos_red'!U4*'Tramos_red'!AA4</f>
        <v>0.0</v>
      </c>
      <c r="F9" s="1">
        <f>IF(E9&gt;'Resumen'!$B$14,'Tramos_red'!J4,"")</f>
        <v/>
      </c>
      <c r="G9" s="1">
        <f>IF(E9&gt;'Resumen'!$B$14,'Tramos_red'!I4,"")</f>
        <v/>
      </c>
      <c r="H9" s="1">
        <f>IF(E9&gt;'Resumen'!$B$14,'Tramos_red'!K4,"")</f>
        <v/>
      </c>
      <c r="I9" s="1">
        <f>IF(E9&gt;'Resumen'!$B$14,'Tramos_red'!L4,"")</f>
        <v/>
      </c>
      <c r="J9" s="6">
        <f>IF(E9&gt;'Resumen'!$B$14,'Tramos_red'!AA4,0)</f>
        <v>0</v>
      </c>
      <c r="K9" s="6">
        <f>IF(E9&gt;'Resumen'!$B$14,'Tramos_red'!U4,0)</f>
        <v>0</v>
      </c>
      <c r="L9" s="1">
        <f>J9*'Entradas'!B12</f>
        <v>0</v>
      </c>
      <c r="M9" s="1">
        <f>K9*'Entradas'!B14</f>
        <v>0</v>
      </c>
      <c r="N9" s="1">
        <f>IF(E9&gt;'Resumen'!$B$14,'Tramos_red'!P4,0)</f>
        <v>0</v>
      </c>
      <c r="O9" s="1">
        <f>IF(E9&gt;'Resumen'!$B$14,'Tramos_red'!Q4,0)</f>
        <v>0</v>
      </c>
      <c r="P9" s="1">
        <f>IF(E9&gt;'Resumen'!$B$14,'Tramos_red'!R4,0)</f>
        <v>0</v>
      </c>
      <c r="Q9" s="1">
        <f>IF(E9&lt;='Resumen'!$B$14,0,IF('Entradas'!$B$5=0,"sin U",IF(P9=0,"infinita",E9/('Entradas'!$B$5*P9))))</f>
        <v>0</v>
      </c>
    </row>
    <row r="10" spans="1:17" ht="21" customHeight="1">
      <c r="A10" s="4" t="s">
        <v>109</v>
      </c>
      <c r="B10" s="1">
        <v>1</v>
      </c>
      <c r="C10" s="4" t="str">
        <f>'Entradas'!A13</f>
        <v>C3</v>
      </c>
      <c r="D10" s="4" t="str">
        <f>'Entradas'!A11</f>
        <v>H1</v>
      </c>
      <c r="E10" s="1">
        <f>'Tramos_red'!M4*'Tramos_red'!V4*'Tramos_red'!X4</f>
        <v>0.0</v>
      </c>
      <c r="F10" s="1">
        <f>IF(E10&gt;'Resumen'!$B$14,'Tramos_red'!J4,"")</f>
        <v/>
      </c>
      <c r="G10" s="1">
        <f>IF(E10&gt;'Resumen'!$B$14,'Tramos_red'!I4,"")</f>
        <v/>
      </c>
      <c r="H10" s="1">
        <f>IF(E10&gt;'Resumen'!$B$14,'Tramos_red'!K4,"")</f>
        <v/>
      </c>
      <c r="I10" s="1">
        <f>IF(E10&gt;'Resumen'!$B$14,'Tramos_red'!L4,"")</f>
        <v/>
      </c>
      <c r="J10" s="6">
        <f>IF(E10&gt;'Resumen'!$B$14,'Tramos_red'!X4,0)</f>
        <v>0</v>
      </c>
      <c r="K10" s="6">
        <f>IF(E10&gt;'Resumen'!$B$14,'Tramos_red'!V4,0)</f>
        <v>0</v>
      </c>
      <c r="L10" s="1">
        <f>J10*'Entradas'!B13</f>
        <v>0</v>
      </c>
      <c r="M10" s="1">
        <f>K10*'Entradas'!B11</f>
        <v>0</v>
      </c>
      <c r="N10" s="1">
        <f>IF(E10&gt;'Resumen'!$B$14,'Tramos_red'!P4,0)</f>
        <v>0</v>
      </c>
      <c r="O10" s="1">
        <f>IF(E10&gt;'Resumen'!$B$14,'Tramos_red'!Q4,0)</f>
        <v>0</v>
      </c>
      <c r="P10" s="1">
        <f>IF(E10&gt;'Resumen'!$B$14,'Tramos_red'!R4,0)</f>
        <v>0</v>
      </c>
      <c r="Q10" s="1">
        <f>IF(E10&lt;='Resumen'!$B$14,0,IF('Entradas'!$B$5=0,"sin U",IF(P10=0,"infinita",E10/('Entradas'!$B$5*P10))))</f>
        <v>0</v>
      </c>
    </row>
    <row r="11" spans="1:17" ht="21" customHeight="1">
      <c r="A11" s="4" t="s">
        <v>110</v>
      </c>
      <c r="B11" s="1">
        <v>1</v>
      </c>
      <c r="C11" s="4" t="str">
        <f>'Entradas'!A13</f>
        <v>C3</v>
      </c>
      <c r="D11" s="4" t="str">
        <f>'Entradas'!A12</f>
        <v>H2</v>
      </c>
      <c r="E11" s="1">
        <f>'Tramos_red'!M4*'Tramos_red'!V4*'Tramos_red'!Y4</f>
        <v>0.0</v>
      </c>
      <c r="F11" s="1">
        <f>IF(E11&gt;'Resumen'!$B$14,'Tramos_red'!J4,"")</f>
        <v/>
      </c>
      <c r="G11" s="1">
        <f>IF(E11&gt;'Resumen'!$B$14,'Tramos_red'!I4,"")</f>
        <v/>
      </c>
      <c r="H11" s="1">
        <f>IF(E11&gt;'Resumen'!$B$14,'Tramos_red'!K4,"")</f>
        <v/>
      </c>
      <c r="I11" s="1">
        <f>IF(E11&gt;'Resumen'!$B$14,'Tramos_red'!L4,"")</f>
        <v/>
      </c>
      <c r="J11" s="6">
        <f>IF(E11&gt;'Resumen'!$B$14,'Tramos_red'!Y4,0)</f>
        <v>0</v>
      </c>
      <c r="K11" s="6">
        <f>IF(E11&gt;'Resumen'!$B$14,'Tramos_red'!V4,0)</f>
        <v>0</v>
      </c>
      <c r="L11" s="1">
        <f>J11*'Entradas'!B13</f>
        <v>0</v>
      </c>
      <c r="M11" s="1">
        <f>K11*'Entradas'!B12</f>
        <v>0</v>
      </c>
      <c r="N11" s="1">
        <f>IF(E11&gt;'Resumen'!$B$14,'Tramos_red'!P4,0)</f>
        <v>0</v>
      </c>
      <c r="O11" s="1">
        <f>IF(E11&gt;'Resumen'!$B$14,'Tramos_red'!Q4,0)</f>
        <v>0</v>
      </c>
      <c r="P11" s="1">
        <f>IF(E11&gt;'Resumen'!$B$14,'Tramos_red'!R4,0)</f>
        <v>0</v>
      </c>
      <c r="Q11" s="1">
        <f>IF(E11&lt;='Resumen'!$B$14,0,IF('Entradas'!$B$5=0,"sin U",IF(P11=0,"infinita",E11/('Entradas'!$B$5*P11))))</f>
        <v>0</v>
      </c>
    </row>
    <row r="12" spans="1:17" ht="21" customHeight="1">
      <c r="A12" s="4" t="s">
        <v>111</v>
      </c>
      <c r="B12" s="1">
        <v>1</v>
      </c>
      <c r="C12" s="4" t="str">
        <f>'Entradas'!A13</f>
        <v>C3</v>
      </c>
      <c r="D12" s="4" t="str">
        <f>'Entradas'!A14</f>
        <v>C4</v>
      </c>
      <c r="E12" s="1">
        <f>'Tramos_red'!M4*'Tramos_red'!V4*'Tramos_red'!AA4</f>
        <v>0.0</v>
      </c>
      <c r="F12" s="1">
        <f>IF(E12&gt;'Resumen'!$B$14,'Tramos_red'!J4,"")</f>
        <v/>
      </c>
      <c r="G12" s="1">
        <f>IF(E12&gt;'Resumen'!$B$14,'Tramos_red'!I4,"")</f>
        <v/>
      </c>
      <c r="H12" s="1">
        <f>IF(E12&gt;'Resumen'!$B$14,'Tramos_red'!K4,"")</f>
        <v/>
      </c>
      <c r="I12" s="1">
        <f>IF(E12&gt;'Resumen'!$B$14,'Tramos_red'!L4,"")</f>
        <v/>
      </c>
      <c r="J12" s="6">
        <f>IF(E12&gt;'Resumen'!$B$14,'Tramos_red'!AA4,0)</f>
        <v>0</v>
      </c>
      <c r="K12" s="6">
        <f>IF(E12&gt;'Resumen'!$B$14,'Tramos_red'!V4,0)</f>
        <v>0</v>
      </c>
      <c r="L12" s="1">
        <f>J12*'Entradas'!B13</f>
        <v>0</v>
      </c>
      <c r="M12" s="1">
        <f>K12*'Entradas'!B14</f>
        <v>0</v>
      </c>
      <c r="N12" s="1">
        <f>IF(E12&gt;'Resumen'!$B$14,'Tramos_red'!P4,0)</f>
        <v>0</v>
      </c>
      <c r="O12" s="1">
        <f>IF(E12&gt;'Resumen'!$B$14,'Tramos_red'!Q4,0)</f>
        <v>0</v>
      </c>
      <c r="P12" s="1">
        <f>IF(E12&gt;'Resumen'!$B$14,'Tramos_red'!R4,0)</f>
        <v>0</v>
      </c>
      <c r="Q12" s="1">
        <f>IF(E12&lt;='Resumen'!$B$14,0,IF('Entradas'!$B$5=0,"sin U",IF(P12=0,"infinita",E12/('Entradas'!$B$5*P12))))</f>
        <v>0</v>
      </c>
    </row>
    <row r="13" spans="1:17" ht="21" customHeight="1">
      <c r="A13" s="4" t="s">
        <v>112</v>
      </c>
      <c r="B13" s="1">
        <v>1</v>
      </c>
      <c r="C13" s="4" t="str">
        <f>'Entradas'!A14</f>
        <v>C4</v>
      </c>
      <c r="D13" s="4" t="str">
        <f>'Entradas'!A11</f>
        <v>H1</v>
      </c>
      <c r="E13" s="1">
        <f>'Tramos_red'!M4*'Tramos_red'!W4*'Tramos_red'!X4</f>
        <v>0.0</v>
      </c>
      <c r="F13" s="1">
        <f>IF(E13&gt;'Resumen'!$B$14,'Tramos_red'!J4,"")</f>
        <v/>
      </c>
      <c r="G13" s="1">
        <f>IF(E13&gt;'Resumen'!$B$14,'Tramos_red'!I4,"")</f>
        <v/>
      </c>
      <c r="H13" s="1">
        <f>IF(E13&gt;'Resumen'!$B$14,'Tramos_red'!K4,"")</f>
        <v/>
      </c>
      <c r="I13" s="1">
        <f>IF(E13&gt;'Resumen'!$B$14,'Tramos_red'!L4,"")</f>
        <v/>
      </c>
      <c r="J13" s="6">
        <f>IF(E13&gt;'Resumen'!$B$14,'Tramos_red'!X4,0)</f>
        <v>0</v>
      </c>
      <c r="K13" s="6">
        <f>IF(E13&gt;'Resumen'!$B$14,'Tramos_red'!W4,0)</f>
        <v>0</v>
      </c>
      <c r="L13" s="1">
        <f>J13*'Entradas'!B14</f>
        <v>0</v>
      </c>
      <c r="M13" s="1">
        <f>K13*'Entradas'!B11</f>
        <v>0</v>
      </c>
      <c r="N13" s="1">
        <f>IF(E13&gt;'Resumen'!$B$14,'Tramos_red'!P4,0)</f>
        <v>0</v>
      </c>
      <c r="O13" s="1">
        <f>IF(E13&gt;'Resumen'!$B$14,'Tramos_red'!Q4,0)</f>
        <v>0</v>
      </c>
      <c r="P13" s="1">
        <f>IF(E13&gt;'Resumen'!$B$14,'Tramos_red'!R4,0)</f>
        <v>0</v>
      </c>
      <c r="Q13" s="1">
        <f>IF(E13&lt;='Resumen'!$B$14,0,IF('Entradas'!$B$5=0,"sin U",IF(P13=0,"infinita",E13/('Entradas'!$B$5*P13))))</f>
        <v>0</v>
      </c>
    </row>
    <row r="14" spans="1:17" ht="21" customHeight="1">
      <c r="A14" s="4" t="s">
        <v>113</v>
      </c>
      <c r="B14" s="1">
        <v>1</v>
      </c>
      <c r="C14" s="4" t="str">
        <f>'Entradas'!A14</f>
        <v>C4</v>
      </c>
      <c r="D14" s="4" t="str">
        <f>'Entradas'!A12</f>
        <v>H2</v>
      </c>
      <c r="E14" s="1">
        <f>'Tramos_red'!M4*'Tramos_red'!W4*'Tramos_red'!Y4</f>
        <v>0.0</v>
      </c>
      <c r="F14" s="1">
        <f>IF(E14&gt;'Resumen'!$B$14,'Tramos_red'!J4,"")</f>
        <v/>
      </c>
      <c r="G14" s="1">
        <f>IF(E14&gt;'Resumen'!$B$14,'Tramos_red'!I4,"")</f>
        <v/>
      </c>
      <c r="H14" s="1">
        <f>IF(E14&gt;'Resumen'!$B$14,'Tramos_red'!K4,"")</f>
        <v/>
      </c>
      <c r="I14" s="1">
        <f>IF(E14&gt;'Resumen'!$B$14,'Tramos_red'!L4,"")</f>
        <v/>
      </c>
      <c r="J14" s="6">
        <f>IF(E14&gt;'Resumen'!$B$14,'Tramos_red'!Y4,0)</f>
        <v>0</v>
      </c>
      <c r="K14" s="6">
        <f>IF(E14&gt;'Resumen'!$B$14,'Tramos_red'!W4,0)</f>
        <v>0</v>
      </c>
      <c r="L14" s="1">
        <f>J14*'Entradas'!B14</f>
        <v>0</v>
      </c>
      <c r="M14" s="1">
        <f>K14*'Entradas'!B12</f>
        <v>0</v>
      </c>
      <c r="N14" s="1">
        <f>IF(E14&gt;'Resumen'!$B$14,'Tramos_red'!P4,0)</f>
        <v>0</v>
      </c>
      <c r="O14" s="1">
        <f>IF(E14&gt;'Resumen'!$B$14,'Tramos_red'!Q4,0)</f>
        <v>0</v>
      </c>
      <c r="P14" s="1">
        <f>IF(E14&gt;'Resumen'!$B$14,'Tramos_red'!R4,0)</f>
        <v>0</v>
      </c>
      <c r="Q14" s="1">
        <f>IF(E14&lt;='Resumen'!$B$14,0,IF('Entradas'!$B$5=0,"sin U",IF(P14=0,"infinita",E14/('Entradas'!$B$5*P14))))</f>
        <v>0</v>
      </c>
    </row>
    <row r="15" spans="1:17" ht="21" customHeight="1">
      <c r="A15" s="4" t="s">
        <v>114</v>
      </c>
      <c r="B15" s="1">
        <v>1</v>
      </c>
      <c r="C15" s="4" t="str">
        <f>'Entradas'!A14</f>
        <v>C4</v>
      </c>
      <c r="D15" s="4" t="str">
        <f>'Entradas'!A13</f>
        <v>C3</v>
      </c>
      <c r="E15" s="1">
        <f>'Tramos_red'!M4*'Tramos_red'!W4*'Tramos_red'!Z4</f>
        <v>0.0</v>
      </c>
      <c r="F15" s="1">
        <f>IF(E15&gt;'Resumen'!$B$14,'Tramos_red'!J4,"")</f>
        <v/>
      </c>
      <c r="G15" s="1">
        <f>IF(E15&gt;'Resumen'!$B$14,'Tramos_red'!I4,"")</f>
        <v/>
      </c>
      <c r="H15" s="1">
        <f>IF(E15&gt;'Resumen'!$B$14,'Tramos_red'!K4,"")</f>
        <v/>
      </c>
      <c r="I15" s="1">
        <f>IF(E15&gt;'Resumen'!$B$14,'Tramos_red'!L4,"")</f>
        <v/>
      </c>
      <c r="J15" s="6">
        <f>IF(E15&gt;'Resumen'!$B$14,'Tramos_red'!Z4,0)</f>
        <v>0</v>
      </c>
      <c r="K15" s="6">
        <f>IF(E15&gt;'Resumen'!$B$14,'Tramos_red'!W4,0)</f>
        <v>0</v>
      </c>
      <c r="L15" s="1">
        <f>J15*'Entradas'!B14</f>
        <v>0</v>
      </c>
      <c r="M15" s="1">
        <f>K15*'Entradas'!B13</f>
        <v>0</v>
      </c>
      <c r="N15" s="1">
        <f>IF(E15&gt;'Resumen'!$B$14,'Tramos_red'!P4,0)</f>
        <v>0</v>
      </c>
      <c r="O15" s="1">
        <f>IF(E15&gt;'Resumen'!$B$14,'Tramos_red'!Q4,0)</f>
        <v>0</v>
      </c>
      <c r="P15" s="1">
        <f>IF(E15&gt;'Resumen'!$B$14,'Tramos_red'!R4,0)</f>
        <v>0</v>
      </c>
      <c r="Q15" s="1">
        <f>IF(E15&lt;='Resumen'!$B$14,0,IF('Entradas'!$B$5=0,"sin U",IF(P15=0,"infinita",E15/('Entradas'!$B$5*P15))))</f>
        <v>0</v>
      </c>
    </row>
    <row r="16" spans="1:17" ht="21" customHeight="1">
      <c r="A16" s="4" t="s">
        <v>115</v>
      </c>
      <c r="B16" s="1">
        <v>2</v>
      </c>
      <c r="C16" s="4" t="str">
        <f>'Entradas'!A11</f>
        <v>H1</v>
      </c>
      <c r="D16" s="4" t="str">
        <f>'Entradas'!A12</f>
        <v>H2</v>
      </c>
      <c r="E16" s="1">
        <f>'Tramos_red'!M5*'Tramos_red'!T5*'Tramos_red'!Y5</f>
        <v>0.0</v>
      </c>
      <c r="F16" s="1">
        <f>IF(E16&gt;'Resumen'!$B$14,'Tramos_red'!J5,"")</f>
        <v/>
      </c>
      <c r="G16" s="1">
        <f>IF(E16&gt;'Resumen'!$B$14,'Tramos_red'!I5,"")</f>
        <v/>
      </c>
      <c r="H16" s="1">
        <f>IF(E16&gt;'Resumen'!$B$14,'Tramos_red'!K5,"")</f>
        <v/>
      </c>
      <c r="I16" s="1">
        <f>IF(E16&gt;'Resumen'!$B$14,'Tramos_red'!L5,"")</f>
        <v/>
      </c>
      <c r="J16" s="6">
        <f>IF(E16&gt;'Resumen'!$B$14,'Tramos_red'!Y5,0)</f>
        <v>0</v>
      </c>
      <c r="K16" s="6">
        <f>IF(E16&gt;'Resumen'!$B$14,'Tramos_red'!T5,0)</f>
        <v>0</v>
      </c>
      <c r="L16" s="1">
        <f>J16*'Entradas'!B11</f>
        <v>0</v>
      </c>
      <c r="M16" s="1">
        <f>K16*'Entradas'!B12</f>
        <v>0</v>
      </c>
      <c r="N16" s="1">
        <f>IF(E16&gt;'Resumen'!$B$14,'Tramos_red'!P5,0)</f>
        <v>0</v>
      </c>
      <c r="O16" s="1">
        <f>IF(E16&gt;'Resumen'!$B$14,'Tramos_red'!Q5,0)</f>
        <v>0</v>
      </c>
      <c r="P16" s="1">
        <f>IF(E16&gt;'Resumen'!$B$14,'Tramos_red'!R5,0)</f>
        <v>0</v>
      </c>
      <c r="Q16" s="1">
        <f>IF(E16&lt;='Resumen'!$B$14,0,IF('Entradas'!$B$5=0,"sin U",IF(P16=0,"infinita",E16/('Entradas'!$B$5*P16))))</f>
        <v>0</v>
      </c>
    </row>
    <row r="17" spans="1:17" ht="21" customHeight="1">
      <c r="A17" s="4" t="s">
        <v>116</v>
      </c>
      <c r="B17" s="1">
        <v>2</v>
      </c>
      <c r="C17" s="4" t="str">
        <f>'Entradas'!A11</f>
        <v>H1</v>
      </c>
      <c r="D17" s="4" t="str">
        <f>'Entradas'!A13</f>
        <v>C3</v>
      </c>
      <c r="E17" s="1">
        <f>'Tramos_red'!M5*'Tramos_red'!T5*'Tramos_red'!Z5</f>
        <v>0.0</v>
      </c>
      <c r="F17" s="1">
        <f>IF(E17&gt;'Resumen'!$B$14,'Tramos_red'!J5,"")</f>
        <v/>
      </c>
      <c r="G17" s="1">
        <f>IF(E17&gt;'Resumen'!$B$14,'Tramos_red'!I5,"")</f>
        <v/>
      </c>
      <c r="H17" s="1">
        <f>IF(E17&gt;'Resumen'!$B$14,'Tramos_red'!K5,"")</f>
        <v/>
      </c>
      <c r="I17" s="1">
        <f>IF(E17&gt;'Resumen'!$B$14,'Tramos_red'!L5,"")</f>
        <v/>
      </c>
      <c r="J17" s="6">
        <f>IF(E17&gt;'Resumen'!$B$14,'Tramos_red'!Z5,0)</f>
        <v>0</v>
      </c>
      <c r="K17" s="6">
        <f>IF(E17&gt;'Resumen'!$B$14,'Tramos_red'!T5,0)</f>
        <v>0</v>
      </c>
      <c r="L17" s="1">
        <f>J17*'Entradas'!B11</f>
        <v>0</v>
      </c>
      <c r="M17" s="1">
        <f>K17*'Entradas'!B13</f>
        <v>0</v>
      </c>
      <c r="N17" s="1">
        <f>IF(E17&gt;'Resumen'!$B$14,'Tramos_red'!P5,0)</f>
        <v>0</v>
      </c>
      <c r="O17" s="1">
        <f>IF(E17&gt;'Resumen'!$B$14,'Tramos_red'!Q5,0)</f>
        <v>0</v>
      </c>
      <c r="P17" s="1">
        <f>IF(E17&gt;'Resumen'!$B$14,'Tramos_red'!R5,0)</f>
        <v>0</v>
      </c>
      <c r="Q17" s="1">
        <f>IF(E17&lt;='Resumen'!$B$14,0,IF('Entradas'!$B$5=0,"sin U",IF(P17=0,"infinita",E17/('Entradas'!$B$5*P17))))</f>
        <v>0</v>
      </c>
    </row>
    <row r="18" spans="1:17" ht="21" customHeight="1">
      <c r="A18" s="4" t="s">
        <v>117</v>
      </c>
      <c r="B18" s="1">
        <v>2</v>
      </c>
      <c r="C18" s="4" t="str">
        <f>'Entradas'!A11</f>
        <v>H1</v>
      </c>
      <c r="D18" s="4" t="str">
        <f>'Entradas'!A14</f>
        <v>C4</v>
      </c>
      <c r="E18" s="1">
        <f>'Tramos_red'!M5*'Tramos_red'!T5*'Tramos_red'!AA5</f>
        <v>0.0</v>
      </c>
      <c r="F18" s="1">
        <f>IF(E18&gt;'Resumen'!$B$14,'Tramos_red'!J5,"")</f>
        <v/>
      </c>
      <c r="G18" s="1">
        <f>IF(E18&gt;'Resumen'!$B$14,'Tramos_red'!I5,"")</f>
        <v/>
      </c>
      <c r="H18" s="1">
        <f>IF(E18&gt;'Resumen'!$B$14,'Tramos_red'!K5,"")</f>
        <v/>
      </c>
      <c r="I18" s="1">
        <f>IF(E18&gt;'Resumen'!$B$14,'Tramos_red'!L5,"")</f>
        <v/>
      </c>
      <c r="J18" s="6">
        <f>IF(E18&gt;'Resumen'!$B$14,'Tramos_red'!AA5,0)</f>
        <v>0</v>
      </c>
      <c r="K18" s="6">
        <f>IF(E18&gt;'Resumen'!$B$14,'Tramos_red'!T5,0)</f>
        <v>0</v>
      </c>
      <c r="L18" s="1">
        <f>J18*'Entradas'!B11</f>
        <v>0</v>
      </c>
      <c r="M18" s="1">
        <f>K18*'Entradas'!B14</f>
        <v>0</v>
      </c>
      <c r="N18" s="1">
        <f>IF(E18&gt;'Resumen'!$B$14,'Tramos_red'!P5,0)</f>
        <v>0</v>
      </c>
      <c r="O18" s="1">
        <f>IF(E18&gt;'Resumen'!$B$14,'Tramos_red'!Q5,0)</f>
        <v>0</v>
      </c>
      <c r="P18" s="1">
        <f>IF(E18&gt;'Resumen'!$B$14,'Tramos_red'!R5,0)</f>
        <v>0</v>
      </c>
      <c r="Q18" s="1">
        <f>IF(E18&lt;='Resumen'!$B$14,0,IF('Entradas'!$B$5=0,"sin U",IF(P18=0,"infinita",E18/('Entradas'!$B$5*P18))))</f>
        <v>0</v>
      </c>
    </row>
    <row r="19" spans="1:17" ht="21" customHeight="1">
      <c r="A19" s="4" t="s">
        <v>118</v>
      </c>
      <c r="B19" s="1">
        <v>2</v>
      </c>
      <c r="C19" s="4" t="str">
        <f>'Entradas'!A12</f>
        <v>H2</v>
      </c>
      <c r="D19" s="4" t="str">
        <f>'Entradas'!A11</f>
        <v>H1</v>
      </c>
      <c r="E19" s="1">
        <f>'Tramos_red'!M5*'Tramos_red'!U5*'Tramos_red'!X5</f>
        <v>0.0</v>
      </c>
      <c r="F19" s="1">
        <f>IF(E19&gt;'Resumen'!$B$14,'Tramos_red'!J5,"")</f>
        <v/>
      </c>
      <c r="G19" s="1">
        <f>IF(E19&gt;'Resumen'!$B$14,'Tramos_red'!I5,"")</f>
        <v/>
      </c>
      <c r="H19" s="1">
        <f>IF(E19&gt;'Resumen'!$B$14,'Tramos_red'!K5,"")</f>
        <v/>
      </c>
      <c r="I19" s="1">
        <f>IF(E19&gt;'Resumen'!$B$14,'Tramos_red'!L5,"")</f>
        <v/>
      </c>
      <c r="J19" s="6">
        <f>IF(E19&gt;'Resumen'!$B$14,'Tramos_red'!X5,0)</f>
        <v>0</v>
      </c>
      <c r="K19" s="6">
        <f>IF(E19&gt;'Resumen'!$B$14,'Tramos_red'!U5,0)</f>
        <v>0</v>
      </c>
      <c r="L19" s="1">
        <f>J19*'Entradas'!B12</f>
        <v>0</v>
      </c>
      <c r="M19" s="1">
        <f>K19*'Entradas'!B11</f>
        <v>0</v>
      </c>
      <c r="N19" s="1">
        <f>IF(E19&gt;'Resumen'!$B$14,'Tramos_red'!P5,0)</f>
        <v>0</v>
      </c>
      <c r="O19" s="1">
        <f>IF(E19&gt;'Resumen'!$B$14,'Tramos_red'!Q5,0)</f>
        <v>0</v>
      </c>
      <c r="P19" s="1">
        <f>IF(E19&gt;'Resumen'!$B$14,'Tramos_red'!R5,0)</f>
        <v>0</v>
      </c>
      <c r="Q19" s="1">
        <f>IF(E19&lt;='Resumen'!$B$14,0,IF('Entradas'!$B$5=0,"sin U",IF(P19=0,"infinita",E19/('Entradas'!$B$5*P19))))</f>
        <v>0</v>
      </c>
    </row>
    <row r="20" spans="1:17" ht="21" customHeight="1">
      <c r="A20" s="4" t="s">
        <v>119</v>
      </c>
      <c r="B20" s="1">
        <v>2</v>
      </c>
      <c r="C20" s="4" t="str">
        <f>'Entradas'!A12</f>
        <v>H2</v>
      </c>
      <c r="D20" s="4" t="str">
        <f>'Entradas'!A13</f>
        <v>C3</v>
      </c>
      <c r="E20" s="1">
        <f>'Tramos_red'!M5*'Tramos_red'!U5*'Tramos_red'!Z5</f>
        <v>0.0</v>
      </c>
      <c r="F20" s="1">
        <f>IF(E20&gt;'Resumen'!$B$14,'Tramos_red'!J5,"")</f>
        <v/>
      </c>
      <c r="G20" s="1">
        <f>IF(E20&gt;'Resumen'!$B$14,'Tramos_red'!I5,"")</f>
        <v/>
      </c>
      <c r="H20" s="1">
        <f>IF(E20&gt;'Resumen'!$B$14,'Tramos_red'!K5,"")</f>
        <v/>
      </c>
      <c r="I20" s="1">
        <f>IF(E20&gt;'Resumen'!$B$14,'Tramos_red'!L5,"")</f>
        <v/>
      </c>
      <c r="J20" s="6">
        <f>IF(E20&gt;'Resumen'!$B$14,'Tramos_red'!Z5,0)</f>
        <v>0</v>
      </c>
      <c r="K20" s="6">
        <f>IF(E20&gt;'Resumen'!$B$14,'Tramos_red'!U5,0)</f>
        <v>0</v>
      </c>
      <c r="L20" s="1">
        <f>J20*'Entradas'!B12</f>
        <v>0</v>
      </c>
      <c r="M20" s="1">
        <f>K20*'Entradas'!B13</f>
        <v>0</v>
      </c>
      <c r="N20" s="1">
        <f>IF(E20&gt;'Resumen'!$B$14,'Tramos_red'!P5,0)</f>
        <v>0</v>
      </c>
      <c r="O20" s="1">
        <f>IF(E20&gt;'Resumen'!$B$14,'Tramos_red'!Q5,0)</f>
        <v>0</v>
      </c>
      <c r="P20" s="1">
        <f>IF(E20&gt;'Resumen'!$B$14,'Tramos_red'!R5,0)</f>
        <v>0</v>
      </c>
      <c r="Q20" s="1">
        <f>IF(E20&lt;='Resumen'!$B$14,0,IF('Entradas'!$B$5=0,"sin U",IF(P20=0,"infinita",E20/('Entradas'!$B$5*P20))))</f>
        <v>0</v>
      </c>
    </row>
    <row r="21" spans="1:17" ht="21" customHeight="1">
      <c r="A21" s="4" t="s">
        <v>120</v>
      </c>
      <c r="B21" s="1">
        <v>2</v>
      </c>
      <c r="C21" s="4" t="str">
        <f>'Entradas'!A12</f>
        <v>H2</v>
      </c>
      <c r="D21" s="4" t="str">
        <f>'Entradas'!A14</f>
        <v>C4</v>
      </c>
      <c r="E21" s="1">
        <f>'Tramos_red'!M5*'Tramos_red'!U5*'Tramos_red'!AA5</f>
        <v>0.0</v>
      </c>
      <c r="F21" s="1">
        <f>IF(E21&gt;'Resumen'!$B$14,'Tramos_red'!J5,"")</f>
        <v/>
      </c>
      <c r="G21" s="1">
        <f>IF(E21&gt;'Resumen'!$B$14,'Tramos_red'!I5,"")</f>
        <v/>
      </c>
      <c r="H21" s="1">
        <f>IF(E21&gt;'Resumen'!$B$14,'Tramos_red'!K5,"")</f>
        <v/>
      </c>
      <c r="I21" s="1">
        <f>IF(E21&gt;'Resumen'!$B$14,'Tramos_red'!L5,"")</f>
        <v/>
      </c>
      <c r="J21" s="6">
        <f>IF(E21&gt;'Resumen'!$B$14,'Tramos_red'!AA5,0)</f>
        <v>0</v>
      </c>
      <c r="K21" s="6">
        <f>IF(E21&gt;'Resumen'!$B$14,'Tramos_red'!U5,0)</f>
        <v>0</v>
      </c>
      <c r="L21" s="1">
        <f>J21*'Entradas'!B12</f>
        <v>0</v>
      </c>
      <c r="M21" s="1">
        <f>K21*'Entradas'!B14</f>
        <v>0</v>
      </c>
      <c r="N21" s="1">
        <f>IF(E21&gt;'Resumen'!$B$14,'Tramos_red'!P5,0)</f>
        <v>0</v>
      </c>
      <c r="O21" s="1">
        <f>IF(E21&gt;'Resumen'!$B$14,'Tramos_red'!Q5,0)</f>
        <v>0</v>
      </c>
      <c r="P21" s="1">
        <f>IF(E21&gt;'Resumen'!$B$14,'Tramos_red'!R5,0)</f>
        <v>0</v>
      </c>
      <c r="Q21" s="1">
        <f>IF(E21&lt;='Resumen'!$B$14,0,IF('Entradas'!$B$5=0,"sin U",IF(P21=0,"infinita",E21/('Entradas'!$B$5*P21))))</f>
        <v>0</v>
      </c>
    </row>
    <row r="22" spans="1:17" ht="21" customHeight="1">
      <c r="A22" s="4" t="s">
        <v>121</v>
      </c>
      <c r="B22" s="1">
        <v>2</v>
      </c>
      <c r="C22" s="4" t="str">
        <f>'Entradas'!A13</f>
        <v>C3</v>
      </c>
      <c r="D22" s="4" t="str">
        <f>'Entradas'!A11</f>
        <v>H1</v>
      </c>
      <c r="E22" s="1">
        <f>'Tramos_red'!M5*'Tramos_red'!V5*'Tramos_red'!X5</f>
        <v>0.0</v>
      </c>
      <c r="F22" s="1">
        <f>IF(E22&gt;'Resumen'!$B$14,'Tramos_red'!J5,"")</f>
        <v/>
      </c>
      <c r="G22" s="1">
        <f>IF(E22&gt;'Resumen'!$B$14,'Tramos_red'!I5,"")</f>
        <v/>
      </c>
      <c r="H22" s="1">
        <f>IF(E22&gt;'Resumen'!$B$14,'Tramos_red'!K5,"")</f>
        <v/>
      </c>
      <c r="I22" s="1">
        <f>IF(E22&gt;'Resumen'!$B$14,'Tramos_red'!L5,"")</f>
        <v/>
      </c>
      <c r="J22" s="6">
        <f>IF(E22&gt;'Resumen'!$B$14,'Tramos_red'!X5,0)</f>
        <v>0</v>
      </c>
      <c r="K22" s="6">
        <f>IF(E22&gt;'Resumen'!$B$14,'Tramos_red'!V5,0)</f>
        <v>0</v>
      </c>
      <c r="L22" s="1">
        <f>J22*'Entradas'!B13</f>
        <v>0</v>
      </c>
      <c r="M22" s="1">
        <f>K22*'Entradas'!B11</f>
        <v>0</v>
      </c>
      <c r="N22" s="1">
        <f>IF(E22&gt;'Resumen'!$B$14,'Tramos_red'!P5,0)</f>
        <v>0</v>
      </c>
      <c r="O22" s="1">
        <f>IF(E22&gt;'Resumen'!$B$14,'Tramos_red'!Q5,0)</f>
        <v>0</v>
      </c>
      <c r="P22" s="1">
        <f>IF(E22&gt;'Resumen'!$B$14,'Tramos_red'!R5,0)</f>
        <v>0</v>
      </c>
      <c r="Q22" s="1">
        <f>IF(E22&lt;='Resumen'!$B$14,0,IF('Entradas'!$B$5=0,"sin U",IF(P22=0,"infinita",E22/('Entradas'!$B$5*P22))))</f>
        <v>0</v>
      </c>
    </row>
    <row r="23" spans="1:17" ht="21" customHeight="1">
      <c r="A23" s="4" t="s">
        <v>122</v>
      </c>
      <c r="B23" s="1">
        <v>2</v>
      </c>
      <c r="C23" s="4" t="str">
        <f>'Entradas'!A13</f>
        <v>C3</v>
      </c>
      <c r="D23" s="4" t="str">
        <f>'Entradas'!A12</f>
        <v>H2</v>
      </c>
      <c r="E23" s="1">
        <f>'Tramos_red'!M5*'Tramos_red'!V5*'Tramos_red'!Y5</f>
        <v>0.0</v>
      </c>
      <c r="F23" s="1">
        <f>IF(E23&gt;'Resumen'!$B$14,'Tramos_red'!J5,"")</f>
        <v/>
      </c>
      <c r="G23" s="1">
        <f>IF(E23&gt;'Resumen'!$B$14,'Tramos_red'!I5,"")</f>
        <v/>
      </c>
      <c r="H23" s="1">
        <f>IF(E23&gt;'Resumen'!$B$14,'Tramos_red'!K5,"")</f>
        <v/>
      </c>
      <c r="I23" s="1">
        <f>IF(E23&gt;'Resumen'!$B$14,'Tramos_red'!L5,"")</f>
        <v/>
      </c>
      <c r="J23" s="6">
        <f>IF(E23&gt;'Resumen'!$B$14,'Tramos_red'!Y5,0)</f>
        <v>0</v>
      </c>
      <c r="K23" s="6">
        <f>IF(E23&gt;'Resumen'!$B$14,'Tramos_red'!V5,0)</f>
        <v>0</v>
      </c>
      <c r="L23" s="1">
        <f>J23*'Entradas'!B13</f>
        <v>0</v>
      </c>
      <c r="M23" s="1">
        <f>K23*'Entradas'!B12</f>
        <v>0</v>
      </c>
      <c r="N23" s="1">
        <f>IF(E23&gt;'Resumen'!$B$14,'Tramos_red'!P5,0)</f>
        <v>0</v>
      </c>
      <c r="O23" s="1">
        <f>IF(E23&gt;'Resumen'!$B$14,'Tramos_red'!Q5,0)</f>
        <v>0</v>
      </c>
      <c r="P23" s="1">
        <f>IF(E23&gt;'Resumen'!$B$14,'Tramos_red'!R5,0)</f>
        <v>0</v>
      </c>
      <c r="Q23" s="1">
        <f>IF(E23&lt;='Resumen'!$B$14,0,IF('Entradas'!$B$5=0,"sin U",IF(P23=0,"infinita",E23/('Entradas'!$B$5*P23))))</f>
        <v>0</v>
      </c>
    </row>
    <row r="24" spans="1:17" ht="21" customHeight="1">
      <c r="A24" s="4" t="s">
        <v>123</v>
      </c>
      <c r="B24" s="1">
        <v>2</v>
      </c>
      <c r="C24" s="4" t="str">
        <f>'Entradas'!A13</f>
        <v>C3</v>
      </c>
      <c r="D24" s="4" t="str">
        <f>'Entradas'!A14</f>
        <v>C4</v>
      </c>
      <c r="E24" s="1">
        <f>'Tramos_red'!M5*'Tramos_red'!V5*'Tramos_red'!AA5</f>
        <v>0.0</v>
      </c>
      <c r="F24" s="1">
        <f>IF(E24&gt;'Resumen'!$B$14,'Tramos_red'!J5,"")</f>
        <v/>
      </c>
      <c r="G24" s="1">
        <f>IF(E24&gt;'Resumen'!$B$14,'Tramos_red'!I5,"")</f>
        <v/>
      </c>
      <c r="H24" s="1">
        <f>IF(E24&gt;'Resumen'!$B$14,'Tramos_red'!K5,"")</f>
        <v/>
      </c>
      <c r="I24" s="1">
        <f>IF(E24&gt;'Resumen'!$B$14,'Tramos_red'!L5,"")</f>
        <v/>
      </c>
      <c r="J24" s="6">
        <f>IF(E24&gt;'Resumen'!$B$14,'Tramos_red'!AA5,0)</f>
        <v>0</v>
      </c>
      <c r="K24" s="6">
        <f>IF(E24&gt;'Resumen'!$B$14,'Tramos_red'!V5,0)</f>
        <v>0</v>
      </c>
      <c r="L24" s="1">
        <f>J24*'Entradas'!B13</f>
        <v>0</v>
      </c>
      <c r="M24" s="1">
        <f>K24*'Entradas'!B14</f>
        <v>0</v>
      </c>
      <c r="N24" s="1">
        <f>IF(E24&gt;'Resumen'!$B$14,'Tramos_red'!P5,0)</f>
        <v>0</v>
      </c>
      <c r="O24" s="1">
        <f>IF(E24&gt;'Resumen'!$B$14,'Tramos_red'!Q5,0)</f>
        <v>0</v>
      </c>
      <c r="P24" s="1">
        <f>IF(E24&gt;'Resumen'!$B$14,'Tramos_red'!R5,0)</f>
        <v>0</v>
      </c>
      <c r="Q24" s="1">
        <f>IF(E24&lt;='Resumen'!$B$14,0,IF('Entradas'!$B$5=0,"sin U",IF(P24=0,"infinita",E24/('Entradas'!$B$5*P24))))</f>
        <v>0</v>
      </c>
    </row>
    <row r="25" spans="1:17" ht="21" customHeight="1">
      <c r="A25" s="4" t="s">
        <v>124</v>
      </c>
      <c r="B25" s="1">
        <v>2</v>
      </c>
      <c r="C25" s="4" t="str">
        <f>'Entradas'!A14</f>
        <v>C4</v>
      </c>
      <c r="D25" s="4" t="str">
        <f>'Entradas'!A11</f>
        <v>H1</v>
      </c>
      <c r="E25" s="1">
        <f>'Tramos_red'!M5*'Tramos_red'!W5*'Tramos_red'!X5</f>
        <v>0.0</v>
      </c>
      <c r="F25" s="1">
        <f>IF(E25&gt;'Resumen'!$B$14,'Tramos_red'!J5,"")</f>
        <v/>
      </c>
      <c r="G25" s="1">
        <f>IF(E25&gt;'Resumen'!$B$14,'Tramos_red'!I5,"")</f>
        <v/>
      </c>
      <c r="H25" s="1">
        <f>IF(E25&gt;'Resumen'!$B$14,'Tramos_red'!K5,"")</f>
        <v/>
      </c>
      <c r="I25" s="1">
        <f>IF(E25&gt;'Resumen'!$B$14,'Tramos_red'!L5,"")</f>
        <v/>
      </c>
      <c r="J25" s="6">
        <f>IF(E25&gt;'Resumen'!$B$14,'Tramos_red'!X5,0)</f>
        <v>0</v>
      </c>
      <c r="K25" s="6">
        <f>IF(E25&gt;'Resumen'!$B$14,'Tramos_red'!W5,0)</f>
        <v>0</v>
      </c>
      <c r="L25" s="1">
        <f>J25*'Entradas'!B14</f>
        <v>0</v>
      </c>
      <c r="M25" s="1">
        <f>K25*'Entradas'!B11</f>
        <v>0</v>
      </c>
      <c r="N25" s="1">
        <f>IF(E25&gt;'Resumen'!$B$14,'Tramos_red'!P5,0)</f>
        <v>0</v>
      </c>
      <c r="O25" s="1">
        <f>IF(E25&gt;'Resumen'!$B$14,'Tramos_red'!Q5,0)</f>
        <v>0</v>
      </c>
      <c r="P25" s="1">
        <f>IF(E25&gt;'Resumen'!$B$14,'Tramos_red'!R5,0)</f>
        <v>0</v>
      </c>
      <c r="Q25" s="1">
        <f>IF(E25&lt;='Resumen'!$B$14,0,IF('Entradas'!$B$5=0,"sin U",IF(P25=0,"infinita",E25/('Entradas'!$B$5*P25))))</f>
        <v>0</v>
      </c>
    </row>
    <row r="26" spans="1:17" ht="21" customHeight="1">
      <c r="A26" s="4" t="s">
        <v>125</v>
      </c>
      <c r="B26" s="1">
        <v>2</v>
      </c>
      <c r="C26" s="4" t="str">
        <f>'Entradas'!A14</f>
        <v>C4</v>
      </c>
      <c r="D26" s="4" t="str">
        <f>'Entradas'!A12</f>
        <v>H2</v>
      </c>
      <c r="E26" s="1">
        <f>'Tramos_red'!M5*'Tramos_red'!W5*'Tramos_red'!Y5</f>
        <v>0.0</v>
      </c>
      <c r="F26" s="1">
        <f>IF(E26&gt;'Resumen'!$B$14,'Tramos_red'!J5,"")</f>
        <v/>
      </c>
      <c r="G26" s="1">
        <f>IF(E26&gt;'Resumen'!$B$14,'Tramos_red'!I5,"")</f>
        <v/>
      </c>
      <c r="H26" s="1">
        <f>IF(E26&gt;'Resumen'!$B$14,'Tramos_red'!K5,"")</f>
        <v/>
      </c>
      <c r="I26" s="1">
        <f>IF(E26&gt;'Resumen'!$B$14,'Tramos_red'!L5,"")</f>
        <v/>
      </c>
      <c r="J26" s="6">
        <f>IF(E26&gt;'Resumen'!$B$14,'Tramos_red'!Y5,0)</f>
        <v>0</v>
      </c>
      <c r="K26" s="6">
        <f>IF(E26&gt;'Resumen'!$B$14,'Tramos_red'!W5,0)</f>
        <v>0</v>
      </c>
      <c r="L26" s="1">
        <f>J26*'Entradas'!B14</f>
        <v>0</v>
      </c>
      <c r="M26" s="1">
        <f>K26*'Entradas'!B12</f>
        <v>0</v>
      </c>
      <c r="N26" s="1">
        <f>IF(E26&gt;'Resumen'!$B$14,'Tramos_red'!P5,0)</f>
        <v>0</v>
      </c>
      <c r="O26" s="1">
        <f>IF(E26&gt;'Resumen'!$B$14,'Tramos_red'!Q5,0)</f>
        <v>0</v>
      </c>
      <c r="P26" s="1">
        <f>IF(E26&gt;'Resumen'!$B$14,'Tramos_red'!R5,0)</f>
        <v>0</v>
      </c>
      <c r="Q26" s="1">
        <f>IF(E26&lt;='Resumen'!$B$14,0,IF('Entradas'!$B$5=0,"sin U",IF(P26=0,"infinita",E26/('Entradas'!$B$5*P26))))</f>
        <v>0</v>
      </c>
    </row>
    <row r="27" spans="1:17" ht="21" customHeight="1">
      <c r="A27" s="4" t="s">
        <v>126</v>
      </c>
      <c r="B27" s="1">
        <v>2</v>
      </c>
      <c r="C27" s="4" t="str">
        <f>'Entradas'!A14</f>
        <v>C4</v>
      </c>
      <c r="D27" s="4" t="str">
        <f>'Entradas'!A13</f>
        <v>C3</v>
      </c>
      <c r="E27" s="1">
        <f>'Tramos_red'!M5*'Tramos_red'!W5*'Tramos_red'!Z5</f>
        <v>0.0</v>
      </c>
      <c r="F27" s="1">
        <f>IF(E27&gt;'Resumen'!$B$14,'Tramos_red'!J5,"")</f>
        <v/>
      </c>
      <c r="G27" s="1">
        <f>IF(E27&gt;'Resumen'!$B$14,'Tramos_red'!I5,"")</f>
        <v/>
      </c>
      <c r="H27" s="1">
        <f>IF(E27&gt;'Resumen'!$B$14,'Tramos_red'!K5,"")</f>
        <v/>
      </c>
      <c r="I27" s="1">
        <f>IF(E27&gt;'Resumen'!$B$14,'Tramos_red'!L5,"")</f>
        <v/>
      </c>
      <c r="J27" s="6">
        <f>IF(E27&gt;'Resumen'!$B$14,'Tramos_red'!Z5,0)</f>
        <v>0</v>
      </c>
      <c r="K27" s="6">
        <f>IF(E27&gt;'Resumen'!$B$14,'Tramos_red'!W5,0)</f>
        <v>0</v>
      </c>
      <c r="L27" s="1">
        <f>J27*'Entradas'!B14</f>
        <v>0</v>
      </c>
      <c r="M27" s="1">
        <f>K27*'Entradas'!B13</f>
        <v>0</v>
      </c>
      <c r="N27" s="1">
        <f>IF(E27&gt;'Resumen'!$B$14,'Tramos_red'!P5,0)</f>
        <v>0</v>
      </c>
      <c r="O27" s="1">
        <f>IF(E27&gt;'Resumen'!$B$14,'Tramos_red'!Q5,0)</f>
        <v>0</v>
      </c>
      <c r="P27" s="1">
        <f>IF(E27&gt;'Resumen'!$B$14,'Tramos_red'!R5,0)</f>
        <v>0</v>
      </c>
      <c r="Q27" s="1">
        <f>IF(E27&lt;='Resumen'!$B$14,0,IF('Entradas'!$B$5=0,"sin U",IF(P27=0,"infinita",E27/('Entradas'!$B$5*P27))))</f>
        <v>0</v>
      </c>
    </row>
    <row r="28" spans="1:17" ht="21" customHeight="1">
      <c r="A28" s="4" t="s">
        <v>127</v>
      </c>
      <c r="B28" s="1">
        <v>3</v>
      </c>
      <c r="C28" s="4" t="str">
        <f>'Entradas'!A11</f>
        <v>H1</v>
      </c>
      <c r="D28" s="4" t="str">
        <f>'Entradas'!A12</f>
        <v>H2</v>
      </c>
      <c r="E28" s="1">
        <f>'Tramos_red'!M6*'Tramos_red'!T6*'Tramos_red'!Y6</f>
        <v>0.0</v>
      </c>
      <c r="F28" s="1">
        <f>IF(E28&gt;'Resumen'!$B$14,'Tramos_red'!J6,"")</f>
        <v/>
      </c>
      <c r="G28" s="1">
        <f>IF(E28&gt;'Resumen'!$B$14,'Tramos_red'!I6,"")</f>
        <v/>
      </c>
      <c r="H28" s="1">
        <f>IF(E28&gt;'Resumen'!$B$14,'Tramos_red'!K6,"")</f>
        <v/>
      </c>
      <c r="I28" s="1">
        <f>IF(E28&gt;'Resumen'!$B$14,'Tramos_red'!L6,"")</f>
        <v/>
      </c>
      <c r="J28" s="6">
        <f>IF(E28&gt;'Resumen'!$B$14,'Tramos_red'!Y6,0)</f>
        <v>0</v>
      </c>
      <c r="K28" s="6">
        <f>IF(E28&gt;'Resumen'!$B$14,'Tramos_red'!T6,0)</f>
        <v>0</v>
      </c>
      <c r="L28" s="1">
        <f>J28*'Entradas'!B11</f>
        <v>0</v>
      </c>
      <c r="M28" s="1">
        <f>K28*'Entradas'!B12</f>
        <v>0</v>
      </c>
      <c r="N28" s="1">
        <f>IF(E28&gt;'Resumen'!$B$14,'Tramos_red'!P6,0)</f>
        <v>0</v>
      </c>
      <c r="O28" s="1">
        <f>IF(E28&gt;'Resumen'!$B$14,'Tramos_red'!Q6,0)</f>
        <v>0</v>
      </c>
      <c r="P28" s="1">
        <f>IF(E28&gt;'Resumen'!$B$14,'Tramos_red'!R6,0)</f>
        <v>0</v>
      </c>
      <c r="Q28" s="1">
        <f>IF(E28&lt;='Resumen'!$B$14,0,IF('Entradas'!$B$5=0,"sin U",IF(P28=0,"infinita",E28/('Entradas'!$B$5*P28))))</f>
        <v>0</v>
      </c>
    </row>
    <row r="29" spans="1:17" ht="21" customHeight="1">
      <c r="A29" s="4" t="s">
        <v>128</v>
      </c>
      <c r="B29" s="1">
        <v>3</v>
      </c>
      <c r="C29" s="4" t="str">
        <f>'Entradas'!A11</f>
        <v>H1</v>
      </c>
      <c r="D29" s="4" t="str">
        <f>'Entradas'!A13</f>
        <v>C3</v>
      </c>
      <c r="E29" s="1">
        <f>'Tramos_red'!M6*'Tramos_red'!T6*'Tramos_red'!Z6</f>
        <v>0.0</v>
      </c>
      <c r="F29" s="1">
        <f>IF(E29&gt;'Resumen'!$B$14,'Tramos_red'!J6,"")</f>
        <v/>
      </c>
      <c r="G29" s="1">
        <f>IF(E29&gt;'Resumen'!$B$14,'Tramos_red'!I6,"")</f>
        <v/>
      </c>
      <c r="H29" s="1">
        <f>IF(E29&gt;'Resumen'!$B$14,'Tramos_red'!K6,"")</f>
        <v/>
      </c>
      <c r="I29" s="1">
        <f>IF(E29&gt;'Resumen'!$B$14,'Tramos_red'!L6,"")</f>
        <v/>
      </c>
      <c r="J29" s="6">
        <f>IF(E29&gt;'Resumen'!$B$14,'Tramos_red'!Z6,0)</f>
        <v>0</v>
      </c>
      <c r="K29" s="6">
        <f>IF(E29&gt;'Resumen'!$B$14,'Tramos_red'!T6,0)</f>
        <v>0</v>
      </c>
      <c r="L29" s="1">
        <f>J29*'Entradas'!B11</f>
        <v>0</v>
      </c>
      <c r="M29" s="1">
        <f>K29*'Entradas'!B13</f>
        <v>0</v>
      </c>
      <c r="N29" s="1">
        <f>IF(E29&gt;'Resumen'!$B$14,'Tramos_red'!P6,0)</f>
        <v>0</v>
      </c>
      <c r="O29" s="1">
        <f>IF(E29&gt;'Resumen'!$B$14,'Tramos_red'!Q6,0)</f>
        <v>0</v>
      </c>
      <c r="P29" s="1">
        <f>IF(E29&gt;'Resumen'!$B$14,'Tramos_red'!R6,0)</f>
        <v>0</v>
      </c>
      <c r="Q29" s="1">
        <f>IF(E29&lt;='Resumen'!$B$14,0,IF('Entradas'!$B$5=0,"sin U",IF(P29=0,"infinita",E29/('Entradas'!$B$5*P29))))</f>
        <v>0</v>
      </c>
    </row>
    <row r="30" spans="1:17" ht="21" customHeight="1">
      <c r="A30" s="4" t="s">
        <v>129</v>
      </c>
      <c r="B30" s="1">
        <v>3</v>
      </c>
      <c r="C30" s="4" t="str">
        <f>'Entradas'!A11</f>
        <v>H1</v>
      </c>
      <c r="D30" s="4" t="str">
        <f>'Entradas'!A14</f>
        <v>C4</v>
      </c>
      <c r="E30" s="1">
        <f>'Tramos_red'!M6*'Tramos_red'!T6*'Tramos_red'!AA6</f>
        <v>0.0</v>
      </c>
      <c r="F30" s="1">
        <f>IF(E30&gt;'Resumen'!$B$14,'Tramos_red'!J6,"")</f>
        <v/>
      </c>
      <c r="G30" s="1">
        <f>IF(E30&gt;'Resumen'!$B$14,'Tramos_red'!I6,"")</f>
        <v/>
      </c>
      <c r="H30" s="1">
        <f>IF(E30&gt;'Resumen'!$B$14,'Tramos_red'!K6,"")</f>
        <v/>
      </c>
      <c r="I30" s="1">
        <f>IF(E30&gt;'Resumen'!$B$14,'Tramos_red'!L6,"")</f>
        <v/>
      </c>
      <c r="J30" s="6">
        <f>IF(E30&gt;'Resumen'!$B$14,'Tramos_red'!AA6,0)</f>
        <v>0</v>
      </c>
      <c r="K30" s="6">
        <f>IF(E30&gt;'Resumen'!$B$14,'Tramos_red'!T6,0)</f>
        <v>0</v>
      </c>
      <c r="L30" s="1">
        <f>J30*'Entradas'!B11</f>
        <v>0</v>
      </c>
      <c r="M30" s="1">
        <f>K30*'Entradas'!B14</f>
        <v>0</v>
      </c>
      <c r="N30" s="1">
        <f>IF(E30&gt;'Resumen'!$B$14,'Tramos_red'!P6,0)</f>
        <v>0</v>
      </c>
      <c r="O30" s="1">
        <f>IF(E30&gt;'Resumen'!$B$14,'Tramos_red'!Q6,0)</f>
        <v>0</v>
      </c>
      <c r="P30" s="1">
        <f>IF(E30&gt;'Resumen'!$B$14,'Tramos_red'!R6,0)</f>
        <v>0</v>
      </c>
      <c r="Q30" s="1">
        <f>IF(E30&lt;='Resumen'!$B$14,0,IF('Entradas'!$B$5=0,"sin U",IF(P30=0,"infinita",E30/('Entradas'!$B$5*P30))))</f>
        <v>0</v>
      </c>
    </row>
    <row r="31" spans="1:17" ht="21" customHeight="1">
      <c r="A31" s="4" t="s">
        <v>130</v>
      </c>
      <c r="B31" s="1">
        <v>3</v>
      </c>
      <c r="C31" s="4" t="str">
        <f>'Entradas'!A12</f>
        <v>H2</v>
      </c>
      <c r="D31" s="4" t="str">
        <f>'Entradas'!A11</f>
        <v>H1</v>
      </c>
      <c r="E31" s="1">
        <f>'Tramos_red'!M6*'Tramos_red'!U6*'Tramos_red'!X6</f>
        <v>0.0</v>
      </c>
      <c r="F31" s="1">
        <f>IF(E31&gt;'Resumen'!$B$14,'Tramos_red'!J6,"")</f>
        <v/>
      </c>
      <c r="G31" s="1">
        <f>IF(E31&gt;'Resumen'!$B$14,'Tramos_red'!I6,"")</f>
        <v/>
      </c>
      <c r="H31" s="1">
        <f>IF(E31&gt;'Resumen'!$B$14,'Tramos_red'!K6,"")</f>
        <v/>
      </c>
      <c r="I31" s="1">
        <f>IF(E31&gt;'Resumen'!$B$14,'Tramos_red'!L6,"")</f>
        <v/>
      </c>
      <c r="J31" s="6">
        <f>IF(E31&gt;'Resumen'!$B$14,'Tramos_red'!X6,0)</f>
        <v>0</v>
      </c>
      <c r="K31" s="6">
        <f>IF(E31&gt;'Resumen'!$B$14,'Tramos_red'!U6,0)</f>
        <v>0</v>
      </c>
      <c r="L31" s="1">
        <f>J31*'Entradas'!B12</f>
        <v>0</v>
      </c>
      <c r="M31" s="1">
        <f>K31*'Entradas'!B11</f>
        <v>0</v>
      </c>
      <c r="N31" s="1">
        <f>IF(E31&gt;'Resumen'!$B$14,'Tramos_red'!P6,0)</f>
        <v>0</v>
      </c>
      <c r="O31" s="1">
        <f>IF(E31&gt;'Resumen'!$B$14,'Tramos_red'!Q6,0)</f>
        <v>0</v>
      </c>
      <c r="P31" s="1">
        <f>IF(E31&gt;'Resumen'!$B$14,'Tramos_red'!R6,0)</f>
        <v>0</v>
      </c>
      <c r="Q31" s="1">
        <f>IF(E31&lt;='Resumen'!$B$14,0,IF('Entradas'!$B$5=0,"sin U",IF(P31=0,"infinita",E31/('Entradas'!$B$5*P31))))</f>
        <v>0</v>
      </c>
    </row>
    <row r="32" spans="1:17" ht="21" customHeight="1">
      <c r="A32" s="4" t="s">
        <v>131</v>
      </c>
      <c r="B32" s="1">
        <v>3</v>
      </c>
      <c r="C32" s="4" t="str">
        <f>'Entradas'!A12</f>
        <v>H2</v>
      </c>
      <c r="D32" s="4" t="str">
        <f>'Entradas'!A13</f>
        <v>C3</v>
      </c>
      <c r="E32" s="1">
        <f>'Tramos_red'!M6*'Tramos_red'!U6*'Tramos_red'!Z6</f>
        <v>20000.0</v>
      </c>
      <c r="F32" s="1">
        <f>IF(E32&gt;'Resumen'!$B$14,'Tramos_red'!J6,"")</f>
        <v>120.0</v>
      </c>
      <c r="G32" s="1">
        <f>IF(E32&gt;'Resumen'!$B$14,'Tramos_red'!I6,"")</f>
        <v>115.0</v>
      </c>
      <c r="H32" s="1">
        <f>IF(E32&gt;'Resumen'!$B$14,'Tramos_red'!K6,"")</f>
        <v>90.0</v>
      </c>
      <c r="I32" s="1">
        <f>IF(E32&gt;'Resumen'!$B$14,'Tramos_red'!L6,"")</f>
        <v>96.66666666666667</v>
      </c>
      <c r="J32" s="6">
        <f>IF(E32&gt;'Resumen'!$B$14,'Tramos_red'!Z6,0)</f>
        <v>1.0</v>
      </c>
      <c r="K32" s="6">
        <f>IF(E32&gt;'Resumen'!$B$14,'Tramos_red'!U6,0)</f>
        <v>1.0</v>
      </c>
      <c r="L32" s="1">
        <f>J32*'Entradas'!B12</f>
        <v>4000.0</v>
      </c>
      <c r="M32" s="1">
        <f>K32*'Entradas'!B13</f>
        <v>3000.0</v>
      </c>
      <c r="N32" s="1">
        <f>IF(E32&gt;'Resumen'!$B$14,'Tramos_red'!P6,0)</f>
        <v>23.33333333333333</v>
      </c>
      <c r="O32" s="1">
        <f>IF(E32&gt;'Resumen'!$B$14,'Tramos_red'!Q6,0)</f>
        <v>25.0</v>
      </c>
      <c r="P32" s="1">
        <f>IF(E32&gt;'Resumen'!$B$14,'Tramos_red'!R6,0)</f>
        <v>24.157085083520272</v>
      </c>
      <c r="Q32" s="1" t="str">
        <f>IF(E32&lt;='Resumen'!$B$14,0,IF('Entradas'!$B$5=0,"sin U",IF(P32=0,"infinita",E32/('Entradas'!$B$5*P32))))</f>
        <v>sin U</v>
      </c>
    </row>
    <row r="33" spans="1:17" ht="21" customHeight="1">
      <c r="A33" s="4" t="s">
        <v>132</v>
      </c>
      <c r="B33" s="1">
        <v>3</v>
      </c>
      <c r="C33" s="4" t="str">
        <f>'Entradas'!A12</f>
        <v>H2</v>
      </c>
      <c r="D33" s="4" t="str">
        <f>'Entradas'!A14</f>
        <v>C4</v>
      </c>
      <c r="E33" s="1">
        <f>'Tramos_red'!M6*'Tramos_red'!U6*'Tramos_red'!AA6</f>
        <v>0.0</v>
      </c>
      <c r="F33" s="1">
        <f>IF(E33&gt;'Resumen'!$B$14,'Tramos_red'!J6,"")</f>
        <v/>
      </c>
      <c r="G33" s="1">
        <f>IF(E33&gt;'Resumen'!$B$14,'Tramos_red'!I6,"")</f>
        <v/>
      </c>
      <c r="H33" s="1">
        <f>IF(E33&gt;'Resumen'!$B$14,'Tramos_red'!K6,"")</f>
        <v/>
      </c>
      <c r="I33" s="1">
        <f>IF(E33&gt;'Resumen'!$B$14,'Tramos_red'!L6,"")</f>
        <v/>
      </c>
      <c r="J33" s="6">
        <f>IF(E33&gt;'Resumen'!$B$14,'Tramos_red'!AA6,0)</f>
        <v>0</v>
      </c>
      <c r="K33" s="6">
        <f>IF(E33&gt;'Resumen'!$B$14,'Tramos_red'!U6,0)</f>
        <v>0</v>
      </c>
      <c r="L33" s="1">
        <f>J33*'Entradas'!B12</f>
        <v>0</v>
      </c>
      <c r="M33" s="1">
        <f>K33*'Entradas'!B14</f>
        <v>0</v>
      </c>
      <c r="N33" s="1">
        <f>IF(E33&gt;'Resumen'!$B$14,'Tramos_red'!P6,0)</f>
        <v>0</v>
      </c>
      <c r="O33" s="1">
        <f>IF(E33&gt;'Resumen'!$B$14,'Tramos_red'!Q6,0)</f>
        <v>0</v>
      </c>
      <c r="P33" s="1">
        <f>IF(E33&gt;'Resumen'!$B$14,'Tramos_red'!R6,0)</f>
        <v>0</v>
      </c>
      <c r="Q33" s="1">
        <f>IF(E33&lt;='Resumen'!$B$14,0,IF('Entradas'!$B$5=0,"sin U",IF(P33=0,"infinita",E33/('Entradas'!$B$5*P33))))</f>
        <v>0</v>
      </c>
    </row>
    <row r="34" spans="1:17" ht="21" customHeight="1">
      <c r="A34" s="4" t="s">
        <v>133</v>
      </c>
      <c r="B34" s="1">
        <v>3</v>
      </c>
      <c r="C34" s="4" t="str">
        <f>'Entradas'!A13</f>
        <v>C3</v>
      </c>
      <c r="D34" s="4" t="str">
        <f>'Entradas'!A11</f>
        <v>H1</v>
      </c>
      <c r="E34" s="1">
        <f>'Tramos_red'!M6*'Tramos_red'!V6*'Tramos_red'!X6</f>
        <v>0.0</v>
      </c>
      <c r="F34" s="1">
        <f>IF(E34&gt;'Resumen'!$B$14,'Tramos_red'!J6,"")</f>
        <v/>
      </c>
      <c r="G34" s="1">
        <f>IF(E34&gt;'Resumen'!$B$14,'Tramos_red'!I6,"")</f>
        <v/>
      </c>
      <c r="H34" s="1">
        <f>IF(E34&gt;'Resumen'!$B$14,'Tramos_red'!K6,"")</f>
        <v/>
      </c>
      <c r="I34" s="1">
        <f>IF(E34&gt;'Resumen'!$B$14,'Tramos_red'!L6,"")</f>
        <v/>
      </c>
      <c r="J34" s="6">
        <f>IF(E34&gt;'Resumen'!$B$14,'Tramos_red'!X6,0)</f>
        <v>0</v>
      </c>
      <c r="K34" s="6">
        <f>IF(E34&gt;'Resumen'!$B$14,'Tramos_red'!V6,0)</f>
        <v>0</v>
      </c>
      <c r="L34" s="1">
        <f>J34*'Entradas'!B13</f>
        <v>0</v>
      </c>
      <c r="M34" s="1">
        <f>K34*'Entradas'!B11</f>
        <v>0</v>
      </c>
      <c r="N34" s="1">
        <f>IF(E34&gt;'Resumen'!$B$14,'Tramos_red'!P6,0)</f>
        <v>0</v>
      </c>
      <c r="O34" s="1">
        <f>IF(E34&gt;'Resumen'!$B$14,'Tramos_red'!Q6,0)</f>
        <v>0</v>
      </c>
      <c r="P34" s="1">
        <f>IF(E34&gt;'Resumen'!$B$14,'Tramos_red'!R6,0)</f>
        <v>0</v>
      </c>
      <c r="Q34" s="1">
        <f>IF(E34&lt;='Resumen'!$B$14,0,IF('Entradas'!$B$5=0,"sin U",IF(P34=0,"infinita",E34/('Entradas'!$B$5*P34))))</f>
        <v>0</v>
      </c>
    </row>
    <row r="35" spans="1:17" ht="21" customHeight="1">
      <c r="A35" s="4" t="s">
        <v>134</v>
      </c>
      <c r="B35" s="1">
        <v>3</v>
      </c>
      <c r="C35" s="4" t="str">
        <f>'Entradas'!A13</f>
        <v>C3</v>
      </c>
      <c r="D35" s="4" t="str">
        <f>'Entradas'!A12</f>
        <v>H2</v>
      </c>
      <c r="E35" s="1">
        <f>'Tramos_red'!M6*'Tramos_red'!V6*'Tramos_red'!Y6</f>
        <v>0.0</v>
      </c>
      <c r="F35" s="1">
        <f>IF(E35&gt;'Resumen'!$B$14,'Tramos_red'!J6,"")</f>
        <v/>
      </c>
      <c r="G35" s="1">
        <f>IF(E35&gt;'Resumen'!$B$14,'Tramos_red'!I6,"")</f>
        <v/>
      </c>
      <c r="H35" s="1">
        <f>IF(E35&gt;'Resumen'!$B$14,'Tramos_red'!K6,"")</f>
        <v/>
      </c>
      <c r="I35" s="1">
        <f>IF(E35&gt;'Resumen'!$B$14,'Tramos_red'!L6,"")</f>
        <v/>
      </c>
      <c r="J35" s="6">
        <f>IF(E35&gt;'Resumen'!$B$14,'Tramos_red'!Y6,0)</f>
        <v>0</v>
      </c>
      <c r="K35" s="6">
        <f>IF(E35&gt;'Resumen'!$B$14,'Tramos_red'!V6,0)</f>
        <v>0</v>
      </c>
      <c r="L35" s="1">
        <f>J35*'Entradas'!B13</f>
        <v>0</v>
      </c>
      <c r="M35" s="1">
        <f>K35*'Entradas'!B12</f>
        <v>0</v>
      </c>
      <c r="N35" s="1">
        <f>IF(E35&gt;'Resumen'!$B$14,'Tramos_red'!P6,0)</f>
        <v>0</v>
      </c>
      <c r="O35" s="1">
        <f>IF(E35&gt;'Resumen'!$B$14,'Tramos_red'!Q6,0)</f>
        <v>0</v>
      </c>
      <c r="P35" s="1">
        <f>IF(E35&gt;'Resumen'!$B$14,'Tramos_red'!R6,0)</f>
        <v>0</v>
      </c>
      <c r="Q35" s="1">
        <f>IF(E35&lt;='Resumen'!$B$14,0,IF('Entradas'!$B$5=0,"sin U",IF(P35=0,"infinita",E35/('Entradas'!$B$5*P35))))</f>
        <v>0</v>
      </c>
    </row>
    <row r="36" spans="1:17" ht="21" customHeight="1">
      <c r="A36" s="4" t="s">
        <v>135</v>
      </c>
      <c r="B36" s="1">
        <v>3</v>
      </c>
      <c r="C36" s="4" t="str">
        <f>'Entradas'!A13</f>
        <v>C3</v>
      </c>
      <c r="D36" s="4" t="str">
        <f>'Entradas'!A14</f>
        <v>C4</v>
      </c>
      <c r="E36" s="1">
        <f>'Tramos_red'!M6*'Tramos_red'!V6*'Tramos_red'!AA6</f>
        <v>0.0</v>
      </c>
      <c r="F36" s="1">
        <f>IF(E36&gt;'Resumen'!$B$14,'Tramos_red'!J6,"")</f>
        <v/>
      </c>
      <c r="G36" s="1">
        <f>IF(E36&gt;'Resumen'!$B$14,'Tramos_red'!I6,"")</f>
        <v/>
      </c>
      <c r="H36" s="1">
        <f>IF(E36&gt;'Resumen'!$B$14,'Tramos_red'!K6,"")</f>
        <v/>
      </c>
      <c r="I36" s="1">
        <f>IF(E36&gt;'Resumen'!$B$14,'Tramos_red'!L6,"")</f>
        <v/>
      </c>
      <c r="J36" s="6">
        <f>IF(E36&gt;'Resumen'!$B$14,'Tramos_red'!AA6,0)</f>
        <v>0</v>
      </c>
      <c r="K36" s="6">
        <f>IF(E36&gt;'Resumen'!$B$14,'Tramos_red'!V6,0)</f>
        <v>0</v>
      </c>
      <c r="L36" s="1">
        <f>J36*'Entradas'!B13</f>
        <v>0</v>
      </c>
      <c r="M36" s="1">
        <f>K36*'Entradas'!B14</f>
        <v>0</v>
      </c>
      <c r="N36" s="1">
        <f>IF(E36&gt;'Resumen'!$B$14,'Tramos_red'!P6,0)</f>
        <v>0</v>
      </c>
      <c r="O36" s="1">
        <f>IF(E36&gt;'Resumen'!$B$14,'Tramos_red'!Q6,0)</f>
        <v>0</v>
      </c>
      <c r="P36" s="1">
        <f>IF(E36&gt;'Resumen'!$B$14,'Tramos_red'!R6,0)</f>
        <v>0</v>
      </c>
      <c r="Q36" s="1">
        <f>IF(E36&lt;='Resumen'!$B$14,0,IF('Entradas'!$B$5=0,"sin U",IF(P36=0,"infinita",E36/('Entradas'!$B$5*P36))))</f>
        <v>0</v>
      </c>
    </row>
    <row r="37" spans="1:17" ht="21" customHeight="1">
      <c r="A37" s="4" t="s">
        <v>136</v>
      </c>
      <c r="B37" s="1">
        <v>3</v>
      </c>
      <c r="C37" s="4" t="str">
        <f>'Entradas'!A14</f>
        <v>C4</v>
      </c>
      <c r="D37" s="4" t="str">
        <f>'Entradas'!A11</f>
        <v>H1</v>
      </c>
      <c r="E37" s="1">
        <f>'Tramos_red'!M6*'Tramos_red'!W6*'Tramos_red'!X6</f>
        <v>0.0</v>
      </c>
      <c r="F37" s="1">
        <f>IF(E37&gt;'Resumen'!$B$14,'Tramos_red'!J6,"")</f>
        <v/>
      </c>
      <c r="G37" s="1">
        <f>IF(E37&gt;'Resumen'!$B$14,'Tramos_red'!I6,"")</f>
        <v/>
      </c>
      <c r="H37" s="1">
        <f>IF(E37&gt;'Resumen'!$B$14,'Tramos_red'!K6,"")</f>
        <v/>
      </c>
      <c r="I37" s="1">
        <f>IF(E37&gt;'Resumen'!$B$14,'Tramos_red'!L6,"")</f>
        <v/>
      </c>
      <c r="J37" s="6">
        <f>IF(E37&gt;'Resumen'!$B$14,'Tramos_red'!X6,0)</f>
        <v>0</v>
      </c>
      <c r="K37" s="6">
        <f>IF(E37&gt;'Resumen'!$B$14,'Tramos_red'!W6,0)</f>
        <v>0</v>
      </c>
      <c r="L37" s="1">
        <f>J37*'Entradas'!B14</f>
        <v>0</v>
      </c>
      <c r="M37" s="1">
        <f>K37*'Entradas'!B11</f>
        <v>0</v>
      </c>
      <c r="N37" s="1">
        <f>IF(E37&gt;'Resumen'!$B$14,'Tramos_red'!P6,0)</f>
        <v>0</v>
      </c>
      <c r="O37" s="1">
        <f>IF(E37&gt;'Resumen'!$B$14,'Tramos_red'!Q6,0)</f>
        <v>0</v>
      </c>
      <c r="P37" s="1">
        <f>IF(E37&gt;'Resumen'!$B$14,'Tramos_red'!R6,0)</f>
        <v>0</v>
      </c>
      <c r="Q37" s="1">
        <f>IF(E37&lt;='Resumen'!$B$14,0,IF('Entradas'!$B$5=0,"sin U",IF(P37=0,"infinita",E37/('Entradas'!$B$5*P37))))</f>
        <v>0</v>
      </c>
    </row>
    <row r="38" spans="1:17" ht="21" customHeight="1">
      <c r="A38" s="4" t="s">
        <v>137</v>
      </c>
      <c r="B38" s="1">
        <v>3</v>
      </c>
      <c r="C38" s="4" t="str">
        <f>'Entradas'!A14</f>
        <v>C4</v>
      </c>
      <c r="D38" s="4" t="str">
        <f>'Entradas'!A12</f>
        <v>H2</v>
      </c>
      <c r="E38" s="1">
        <f>'Tramos_red'!M6*'Tramos_red'!W6*'Tramos_red'!Y6</f>
        <v>0.0</v>
      </c>
      <c r="F38" s="1">
        <f>IF(E38&gt;'Resumen'!$B$14,'Tramos_red'!J6,"")</f>
        <v/>
      </c>
      <c r="G38" s="1">
        <f>IF(E38&gt;'Resumen'!$B$14,'Tramos_red'!I6,"")</f>
        <v/>
      </c>
      <c r="H38" s="1">
        <f>IF(E38&gt;'Resumen'!$B$14,'Tramos_red'!K6,"")</f>
        <v/>
      </c>
      <c r="I38" s="1">
        <f>IF(E38&gt;'Resumen'!$B$14,'Tramos_red'!L6,"")</f>
        <v/>
      </c>
      <c r="J38" s="6">
        <f>IF(E38&gt;'Resumen'!$B$14,'Tramos_red'!Y6,0)</f>
        <v>0</v>
      </c>
      <c r="K38" s="6">
        <f>IF(E38&gt;'Resumen'!$B$14,'Tramos_red'!W6,0)</f>
        <v>0</v>
      </c>
      <c r="L38" s="1">
        <f>J38*'Entradas'!B14</f>
        <v>0</v>
      </c>
      <c r="M38" s="1">
        <f>K38*'Entradas'!B12</f>
        <v>0</v>
      </c>
      <c r="N38" s="1">
        <f>IF(E38&gt;'Resumen'!$B$14,'Tramos_red'!P6,0)</f>
        <v>0</v>
      </c>
      <c r="O38" s="1">
        <f>IF(E38&gt;'Resumen'!$B$14,'Tramos_red'!Q6,0)</f>
        <v>0</v>
      </c>
      <c r="P38" s="1">
        <f>IF(E38&gt;'Resumen'!$B$14,'Tramos_red'!R6,0)</f>
        <v>0</v>
      </c>
      <c r="Q38" s="1">
        <f>IF(E38&lt;='Resumen'!$B$14,0,IF('Entradas'!$B$5=0,"sin U",IF(P38=0,"infinita",E38/('Entradas'!$B$5*P38))))</f>
        <v>0</v>
      </c>
    </row>
    <row r="39" spans="1:17" ht="21" customHeight="1">
      <c r="A39" s="4" t="s">
        <v>138</v>
      </c>
      <c r="B39" s="1">
        <v>3</v>
      </c>
      <c r="C39" s="4" t="str">
        <f>'Entradas'!A14</f>
        <v>C4</v>
      </c>
      <c r="D39" s="4" t="str">
        <f>'Entradas'!A13</f>
        <v>C3</v>
      </c>
      <c r="E39" s="1">
        <f>'Tramos_red'!M6*'Tramos_red'!W6*'Tramos_red'!Z6</f>
        <v>0.0</v>
      </c>
      <c r="F39" s="1">
        <f>IF(E39&gt;'Resumen'!$B$14,'Tramos_red'!J6,"")</f>
        <v/>
      </c>
      <c r="G39" s="1">
        <f>IF(E39&gt;'Resumen'!$B$14,'Tramos_red'!I6,"")</f>
        <v/>
      </c>
      <c r="H39" s="1">
        <f>IF(E39&gt;'Resumen'!$B$14,'Tramos_red'!K6,"")</f>
        <v/>
      </c>
      <c r="I39" s="1">
        <f>IF(E39&gt;'Resumen'!$B$14,'Tramos_red'!L6,"")</f>
        <v/>
      </c>
      <c r="J39" s="6">
        <f>IF(E39&gt;'Resumen'!$B$14,'Tramos_red'!Z6,0)</f>
        <v>0</v>
      </c>
      <c r="K39" s="6">
        <f>IF(E39&gt;'Resumen'!$B$14,'Tramos_red'!W6,0)</f>
        <v>0</v>
      </c>
      <c r="L39" s="1">
        <f>J39*'Entradas'!B14</f>
        <v>0</v>
      </c>
      <c r="M39" s="1">
        <f>K39*'Entradas'!B13</f>
        <v>0</v>
      </c>
      <c r="N39" s="1">
        <f>IF(E39&gt;'Resumen'!$B$14,'Tramos_red'!P6,0)</f>
        <v>0</v>
      </c>
      <c r="O39" s="1">
        <f>IF(E39&gt;'Resumen'!$B$14,'Tramos_red'!Q6,0)</f>
        <v>0</v>
      </c>
      <c r="P39" s="1">
        <f>IF(E39&gt;'Resumen'!$B$14,'Tramos_red'!R6,0)</f>
        <v>0</v>
      </c>
      <c r="Q39" s="1">
        <f>IF(E39&lt;='Resumen'!$B$14,0,IF('Entradas'!$B$5=0,"sin U",IF(P39=0,"infinita",E39/('Entradas'!$B$5*P39))))</f>
        <v>0</v>
      </c>
    </row>
    <row r="40" spans="1:17" ht="21" customHeight="1">
      <c r="A40" s="4" t="s">
        <v>139</v>
      </c>
      <c r="B40" s="1">
        <v>4</v>
      </c>
      <c r="C40" s="4" t="str">
        <f>'Entradas'!A11</f>
        <v>H1</v>
      </c>
      <c r="D40" s="4" t="str">
        <f>'Entradas'!A12</f>
        <v>H2</v>
      </c>
      <c r="E40" s="1">
        <f>'Tramos_red'!M7*'Tramos_red'!T7*'Tramos_red'!Y7</f>
        <v>0.0</v>
      </c>
      <c r="F40" s="1">
        <f>IF(E40&gt;'Resumen'!$B$14,'Tramos_red'!J7,"")</f>
        <v/>
      </c>
      <c r="G40" s="1">
        <f>IF(E40&gt;'Resumen'!$B$14,'Tramos_red'!I7,"")</f>
        <v/>
      </c>
      <c r="H40" s="1">
        <f>IF(E40&gt;'Resumen'!$B$14,'Tramos_red'!K7,"")</f>
        <v/>
      </c>
      <c r="I40" s="1">
        <f>IF(E40&gt;'Resumen'!$B$14,'Tramos_red'!L7,"")</f>
        <v/>
      </c>
      <c r="J40" s="6">
        <f>IF(E40&gt;'Resumen'!$B$14,'Tramos_red'!Y7,0)</f>
        <v>0</v>
      </c>
      <c r="K40" s="6">
        <f>IF(E40&gt;'Resumen'!$B$14,'Tramos_red'!T7,0)</f>
        <v>0</v>
      </c>
      <c r="L40" s="1">
        <f>J40*'Entradas'!B11</f>
        <v>0</v>
      </c>
      <c r="M40" s="1">
        <f>K40*'Entradas'!B12</f>
        <v>0</v>
      </c>
      <c r="N40" s="1">
        <f>IF(E40&gt;'Resumen'!$B$14,'Tramos_red'!P7,0)</f>
        <v>0</v>
      </c>
      <c r="O40" s="1">
        <f>IF(E40&gt;'Resumen'!$B$14,'Tramos_red'!Q7,0)</f>
        <v>0</v>
      </c>
      <c r="P40" s="1">
        <f>IF(E40&gt;'Resumen'!$B$14,'Tramos_red'!R7,0)</f>
        <v>0</v>
      </c>
      <c r="Q40" s="1">
        <f>IF(E40&lt;='Resumen'!$B$14,0,IF('Entradas'!$B$5=0,"sin U",IF(P40=0,"infinita",E40/('Entradas'!$B$5*P40))))</f>
        <v>0</v>
      </c>
    </row>
    <row r="41" spans="1:17" ht="21" customHeight="1">
      <c r="A41" s="4" t="s">
        <v>140</v>
      </c>
      <c r="B41" s="1">
        <v>4</v>
      </c>
      <c r="C41" s="4" t="str">
        <f>'Entradas'!A11</f>
        <v>H1</v>
      </c>
      <c r="D41" s="4" t="str">
        <f>'Entradas'!A13</f>
        <v>C3</v>
      </c>
      <c r="E41" s="1">
        <f>'Tramos_red'!M7*'Tramos_red'!T7*'Tramos_red'!Z7</f>
        <v>2000.0</v>
      </c>
      <c r="F41" s="1">
        <f>IF(E41&gt;'Resumen'!$B$14,'Tramos_red'!J7,"")</f>
        <v>122.0</v>
      </c>
      <c r="G41" s="1">
        <f>IF(E41&gt;'Resumen'!$B$14,'Tramos_red'!I7,"")</f>
        <v>120.0</v>
      </c>
      <c r="H41" s="1">
        <f>IF(E41&gt;'Resumen'!$B$14,'Tramos_red'!K7,"")</f>
        <v>96.66666666666667</v>
      </c>
      <c r="I41" s="1">
        <f>IF(E41&gt;'Resumen'!$B$14,'Tramos_red'!L7,"")</f>
        <v>100.0</v>
      </c>
      <c r="J41" s="6">
        <f>IF(E41&gt;'Resumen'!$B$14,'Tramos_red'!Z7,0)</f>
        <v>1.0</v>
      </c>
      <c r="K41" s="6">
        <f>IF(E41&gt;'Resumen'!$B$14,'Tramos_red'!T7,0)</f>
        <v>0.2</v>
      </c>
      <c r="L41" s="1">
        <f>J41*'Entradas'!B11</f>
        <v>1000.0</v>
      </c>
      <c r="M41" s="1">
        <f>K41*'Entradas'!B13</f>
        <v>600.0</v>
      </c>
      <c r="N41" s="1">
        <f>IF(E41&gt;'Resumen'!$B$14,'Tramos_red'!P7,0)</f>
        <v>22.0</v>
      </c>
      <c r="O41" s="1">
        <f>IF(E41&gt;'Resumen'!$B$14,'Tramos_red'!Q7,0)</f>
        <v>23.33333333333333</v>
      </c>
      <c r="P41" s="1">
        <f>IF(E41&gt;'Resumen'!$B$14,'Tramos_red'!R7,0)</f>
        <v>22.660129210554953</v>
      </c>
      <c r="Q41" s="1" t="str">
        <f>IF(E41&lt;='Resumen'!$B$14,0,IF('Entradas'!$B$5=0,"sin U",IF(P41=0,"infinita",E41/('Entradas'!$B$5*P41))))</f>
        <v>sin U</v>
      </c>
    </row>
    <row r="42" spans="1:17" ht="21" customHeight="1">
      <c r="A42" s="4" t="s">
        <v>141</v>
      </c>
      <c r="B42" s="1">
        <v>4</v>
      </c>
      <c r="C42" s="4" t="str">
        <f>'Entradas'!A11</f>
        <v>H1</v>
      </c>
      <c r="D42" s="4" t="str">
        <f>'Entradas'!A14</f>
        <v>C4</v>
      </c>
      <c r="E42" s="1">
        <f>'Tramos_red'!M7*'Tramos_red'!T7*'Tramos_red'!AA7</f>
        <v>0.0</v>
      </c>
      <c r="F42" s="1">
        <f>IF(E42&gt;'Resumen'!$B$14,'Tramos_red'!J7,"")</f>
        <v/>
      </c>
      <c r="G42" s="1">
        <f>IF(E42&gt;'Resumen'!$B$14,'Tramos_red'!I7,"")</f>
        <v/>
      </c>
      <c r="H42" s="1">
        <f>IF(E42&gt;'Resumen'!$B$14,'Tramos_red'!K7,"")</f>
        <v/>
      </c>
      <c r="I42" s="1">
        <f>IF(E42&gt;'Resumen'!$B$14,'Tramos_red'!L7,"")</f>
        <v/>
      </c>
      <c r="J42" s="6">
        <f>IF(E42&gt;'Resumen'!$B$14,'Tramos_red'!AA7,0)</f>
        <v>0</v>
      </c>
      <c r="K42" s="6">
        <f>IF(E42&gt;'Resumen'!$B$14,'Tramos_red'!T7,0)</f>
        <v>0</v>
      </c>
      <c r="L42" s="1">
        <f>J42*'Entradas'!B11</f>
        <v>0</v>
      </c>
      <c r="M42" s="1">
        <f>K42*'Entradas'!B14</f>
        <v>0</v>
      </c>
      <c r="N42" s="1">
        <f>IF(E42&gt;'Resumen'!$B$14,'Tramos_red'!P7,0)</f>
        <v>0</v>
      </c>
      <c r="O42" s="1">
        <f>IF(E42&gt;'Resumen'!$B$14,'Tramos_red'!Q7,0)</f>
        <v>0</v>
      </c>
      <c r="P42" s="1">
        <f>IF(E42&gt;'Resumen'!$B$14,'Tramos_red'!R7,0)</f>
        <v>0</v>
      </c>
      <c r="Q42" s="1">
        <f>IF(E42&lt;='Resumen'!$B$14,0,IF('Entradas'!$B$5=0,"sin U",IF(P42=0,"infinita",E42/('Entradas'!$B$5*P42))))</f>
        <v>0</v>
      </c>
    </row>
    <row r="43" spans="1:17" ht="21" customHeight="1">
      <c r="A43" s="4" t="s">
        <v>142</v>
      </c>
      <c r="B43" s="1">
        <v>4</v>
      </c>
      <c r="C43" s="4" t="str">
        <f>'Entradas'!A12</f>
        <v>H2</v>
      </c>
      <c r="D43" s="4" t="str">
        <f>'Entradas'!A11</f>
        <v>H1</v>
      </c>
      <c r="E43" s="1">
        <f>'Tramos_red'!M7*'Tramos_red'!U7*'Tramos_red'!X7</f>
        <v>0.0</v>
      </c>
      <c r="F43" s="1">
        <f>IF(E43&gt;'Resumen'!$B$14,'Tramos_red'!J7,"")</f>
        <v/>
      </c>
      <c r="G43" s="1">
        <f>IF(E43&gt;'Resumen'!$B$14,'Tramos_red'!I7,"")</f>
        <v/>
      </c>
      <c r="H43" s="1">
        <f>IF(E43&gt;'Resumen'!$B$14,'Tramos_red'!K7,"")</f>
        <v/>
      </c>
      <c r="I43" s="1">
        <f>IF(E43&gt;'Resumen'!$B$14,'Tramos_red'!L7,"")</f>
        <v/>
      </c>
      <c r="J43" s="6">
        <f>IF(E43&gt;'Resumen'!$B$14,'Tramos_red'!X7,0)</f>
        <v>0</v>
      </c>
      <c r="K43" s="6">
        <f>IF(E43&gt;'Resumen'!$B$14,'Tramos_red'!U7,0)</f>
        <v>0</v>
      </c>
      <c r="L43" s="1">
        <f>J43*'Entradas'!B12</f>
        <v>0</v>
      </c>
      <c r="M43" s="1">
        <f>K43*'Entradas'!B11</f>
        <v>0</v>
      </c>
      <c r="N43" s="1">
        <f>IF(E43&gt;'Resumen'!$B$14,'Tramos_red'!P7,0)</f>
        <v>0</v>
      </c>
      <c r="O43" s="1">
        <f>IF(E43&gt;'Resumen'!$B$14,'Tramos_red'!Q7,0)</f>
        <v>0</v>
      </c>
      <c r="P43" s="1">
        <f>IF(E43&gt;'Resumen'!$B$14,'Tramos_red'!R7,0)</f>
        <v>0</v>
      </c>
      <c r="Q43" s="1">
        <f>IF(E43&lt;='Resumen'!$B$14,0,IF('Entradas'!$B$5=0,"sin U",IF(P43=0,"infinita",E43/('Entradas'!$B$5*P43))))</f>
        <v>0</v>
      </c>
    </row>
    <row r="44" spans="1:17" ht="21" customHeight="1">
      <c r="A44" s="4" t="s">
        <v>143</v>
      </c>
      <c r="B44" s="1">
        <v>4</v>
      </c>
      <c r="C44" s="4" t="str">
        <f>'Entradas'!A12</f>
        <v>H2</v>
      </c>
      <c r="D44" s="4" t="str">
        <f>'Entradas'!A13</f>
        <v>C3</v>
      </c>
      <c r="E44" s="1">
        <f>'Tramos_red'!M7*'Tramos_red'!U7*'Tramos_red'!Z7</f>
        <v>8000.0</v>
      </c>
      <c r="F44" s="1">
        <f>IF(E44&gt;'Resumen'!$B$14,'Tramos_red'!J7,"")</f>
        <v>122.0</v>
      </c>
      <c r="G44" s="1">
        <f>IF(E44&gt;'Resumen'!$B$14,'Tramos_red'!I7,"")</f>
        <v>120.0</v>
      </c>
      <c r="H44" s="1">
        <f>IF(E44&gt;'Resumen'!$B$14,'Tramos_red'!K7,"")</f>
        <v>96.66666666666667</v>
      </c>
      <c r="I44" s="1">
        <f>IF(E44&gt;'Resumen'!$B$14,'Tramos_red'!L7,"")</f>
        <v>100.0</v>
      </c>
      <c r="J44" s="6">
        <f>IF(E44&gt;'Resumen'!$B$14,'Tramos_red'!Z7,0)</f>
        <v>1.0</v>
      </c>
      <c r="K44" s="6">
        <f>IF(E44&gt;'Resumen'!$B$14,'Tramos_red'!U7,0)</f>
        <v>0.8</v>
      </c>
      <c r="L44" s="1">
        <f>J44*'Entradas'!B12</f>
        <v>4000.0</v>
      </c>
      <c r="M44" s="1">
        <f>K44*'Entradas'!B13</f>
        <v>2400.0</v>
      </c>
      <c r="N44" s="1">
        <f>IF(E44&gt;'Resumen'!$B$14,'Tramos_red'!P7,0)</f>
        <v>22.0</v>
      </c>
      <c r="O44" s="1">
        <f>IF(E44&gt;'Resumen'!$B$14,'Tramos_red'!Q7,0)</f>
        <v>23.33333333333333</v>
      </c>
      <c r="P44" s="1">
        <f>IF(E44&gt;'Resumen'!$B$14,'Tramos_red'!R7,0)</f>
        <v>22.660129210554953</v>
      </c>
      <c r="Q44" s="1" t="str">
        <f>IF(E44&lt;='Resumen'!$B$14,0,IF('Entradas'!$B$5=0,"sin U",IF(P44=0,"infinita",E44/('Entradas'!$B$5*P44))))</f>
        <v>sin U</v>
      </c>
    </row>
    <row r="45" spans="1:17" ht="21" customHeight="1">
      <c r="A45" s="4" t="s">
        <v>144</v>
      </c>
      <c r="B45" s="1">
        <v>4</v>
      </c>
      <c r="C45" s="4" t="str">
        <f>'Entradas'!A12</f>
        <v>H2</v>
      </c>
      <c r="D45" s="4" t="str">
        <f>'Entradas'!A14</f>
        <v>C4</v>
      </c>
      <c r="E45" s="1">
        <f>'Tramos_red'!M7*'Tramos_red'!U7*'Tramos_red'!AA7</f>
        <v>0.0</v>
      </c>
      <c r="F45" s="1">
        <f>IF(E45&gt;'Resumen'!$B$14,'Tramos_red'!J7,"")</f>
        <v/>
      </c>
      <c r="G45" s="1">
        <f>IF(E45&gt;'Resumen'!$B$14,'Tramos_red'!I7,"")</f>
        <v/>
      </c>
      <c r="H45" s="1">
        <f>IF(E45&gt;'Resumen'!$B$14,'Tramos_red'!K7,"")</f>
        <v/>
      </c>
      <c r="I45" s="1">
        <f>IF(E45&gt;'Resumen'!$B$14,'Tramos_red'!L7,"")</f>
        <v/>
      </c>
      <c r="J45" s="6">
        <f>IF(E45&gt;'Resumen'!$B$14,'Tramos_red'!AA7,0)</f>
        <v>0</v>
      </c>
      <c r="K45" s="6">
        <f>IF(E45&gt;'Resumen'!$B$14,'Tramos_red'!U7,0)</f>
        <v>0</v>
      </c>
      <c r="L45" s="1">
        <f>J45*'Entradas'!B12</f>
        <v>0</v>
      </c>
      <c r="M45" s="1">
        <f>K45*'Entradas'!B14</f>
        <v>0</v>
      </c>
      <c r="N45" s="1">
        <f>IF(E45&gt;'Resumen'!$B$14,'Tramos_red'!P7,0)</f>
        <v>0</v>
      </c>
      <c r="O45" s="1">
        <f>IF(E45&gt;'Resumen'!$B$14,'Tramos_red'!Q7,0)</f>
        <v>0</v>
      </c>
      <c r="P45" s="1">
        <f>IF(E45&gt;'Resumen'!$B$14,'Tramos_red'!R7,0)</f>
        <v>0</v>
      </c>
      <c r="Q45" s="1">
        <f>IF(E45&lt;='Resumen'!$B$14,0,IF('Entradas'!$B$5=0,"sin U",IF(P45=0,"infinita",E45/('Entradas'!$B$5*P45))))</f>
        <v>0</v>
      </c>
    </row>
    <row r="46" spans="1:17" ht="21" customHeight="1">
      <c r="A46" s="4" t="s">
        <v>145</v>
      </c>
      <c r="B46" s="1">
        <v>4</v>
      </c>
      <c r="C46" s="4" t="str">
        <f>'Entradas'!A13</f>
        <v>C3</v>
      </c>
      <c r="D46" s="4" t="str">
        <f>'Entradas'!A11</f>
        <v>H1</v>
      </c>
      <c r="E46" s="1">
        <f>'Tramos_red'!M7*'Tramos_red'!V7*'Tramos_red'!X7</f>
        <v>0.0</v>
      </c>
      <c r="F46" s="1">
        <f>IF(E46&gt;'Resumen'!$B$14,'Tramos_red'!J7,"")</f>
        <v/>
      </c>
      <c r="G46" s="1">
        <f>IF(E46&gt;'Resumen'!$B$14,'Tramos_red'!I7,"")</f>
        <v/>
      </c>
      <c r="H46" s="1">
        <f>IF(E46&gt;'Resumen'!$B$14,'Tramos_red'!K7,"")</f>
        <v/>
      </c>
      <c r="I46" s="1">
        <f>IF(E46&gt;'Resumen'!$B$14,'Tramos_red'!L7,"")</f>
        <v/>
      </c>
      <c r="J46" s="6">
        <f>IF(E46&gt;'Resumen'!$B$14,'Tramos_red'!X7,0)</f>
        <v>0</v>
      </c>
      <c r="K46" s="6">
        <f>IF(E46&gt;'Resumen'!$B$14,'Tramos_red'!V7,0)</f>
        <v>0</v>
      </c>
      <c r="L46" s="1">
        <f>J46*'Entradas'!B13</f>
        <v>0</v>
      </c>
      <c r="M46" s="1">
        <f>K46*'Entradas'!B11</f>
        <v>0</v>
      </c>
      <c r="N46" s="1">
        <f>IF(E46&gt;'Resumen'!$B$14,'Tramos_red'!P7,0)</f>
        <v>0</v>
      </c>
      <c r="O46" s="1">
        <f>IF(E46&gt;'Resumen'!$B$14,'Tramos_red'!Q7,0)</f>
        <v>0</v>
      </c>
      <c r="P46" s="1">
        <f>IF(E46&gt;'Resumen'!$B$14,'Tramos_red'!R7,0)</f>
        <v>0</v>
      </c>
      <c r="Q46" s="1">
        <f>IF(E46&lt;='Resumen'!$B$14,0,IF('Entradas'!$B$5=0,"sin U",IF(P46=0,"infinita",E46/('Entradas'!$B$5*P46))))</f>
        <v>0</v>
      </c>
    </row>
    <row r="47" spans="1:17" ht="21" customHeight="1">
      <c r="A47" s="4" t="s">
        <v>146</v>
      </c>
      <c r="B47" s="1">
        <v>4</v>
      </c>
      <c r="C47" s="4" t="str">
        <f>'Entradas'!A13</f>
        <v>C3</v>
      </c>
      <c r="D47" s="4" t="str">
        <f>'Entradas'!A12</f>
        <v>H2</v>
      </c>
      <c r="E47" s="1">
        <f>'Tramos_red'!M7*'Tramos_red'!V7*'Tramos_red'!Y7</f>
        <v>0.0</v>
      </c>
      <c r="F47" s="1">
        <f>IF(E47&gt;'Resumen'!$B$14,'Tramos_red'!J7,"")</f>
        <v/>
      </c>
      <c r="G47" s="1">
        <f>IF(E47&gt;'Resumen'!$B$14,'Tramos_red'!I7,"")</f>
        <v/>
      </c>
      <c r="H47" s="1">
        <f>IF(E47&gt;'Resumen'!$B$14,'Tramos_red'!K7,"")</f>
        <v/>
      </c>
      <c r="I47" s="1">
        <f>IF(E47&gt;'Resumen'!$B$14,'Tramos_red'!L7,"")</f>
        <v/>
      </c>
      <c r="J47" s="6">
        <f>IF(E47&gt;'Resumen'!$B$14,'Tramos_red'!Y7,0)</f>
        <v>0</v>
      </c>
      <c r="K47" s="6">
        <f>IF(E47&gt;'Resumen'!$B$14,'Tramos_red'!V7,0)</f>
        <v>0</v>
      </c>
      <c r="L47" s="1">
        <f>J47*'Entradas'!B13</f>
        <v>0</v>
      </c>
      <c r="M47" s="1">
        <f>K47*'Entradas'!B12</f>
        <v>0</v>
      </c>
      <c r="N47" s="1">
        <f>IF(E47&gt;'Resumen'!$B$14,'Tramos_red'!P7,0)</f>
        <v>0</v>
      </c>
      <c r="O47" s="1">
        <f>IF(E47&gt;'Resumen'!$B$14,'Tramos_red'!Q7,0)</f>
        <v>0</v>
      </c>
      <c r="P47" s="1">
        <f>IF(E47&gt;'Resumen'!$B$14,'Tramos_red'!R7,0)</f>
        <v>0</v>
      </c>
      <c r="Q47" s="1">
        <f>IF(E47&lt;='Resumen'!$B$14,0,IF('Entradas'!$B$5=0,"sin U",IF(P47=0,"infinita",E47/('Entradas'!$B$5*P47))))</f>
        <v>0</v>
      </c>
    </row>
    <row r="48" spans="1:17" ht="21" customHeight="1">
      <c r="A48" s="4" t="s">
        <v>147</v>
      </c>
      <c r="B48" s="1">
        <v>4</v>
      </c>
      <c r="C48" s="4" t="str">
        <f>'Entradas'!A13</f>
        <v>C3</v>
      </c>
      <c r="D48" s="4" t="str">
        <f>'Entradas'!A14</f>
        <v>C4</v>
      </c>
      <c r="E48" s="1">
        <f>'Tramos_red'!M7*'Tramos_red'!V7*'Tramos_red'!AA7</f>
        <v>0.0</v>
      </c>
      <c r="F48" s="1">
        <f>IF(E48&gt;'Resumen'!$B$14,'Tramos_red'!J7,"")</f>
        <v/>
      </c>
      <c r="G48" s="1">
        <f>IF(E48&gt;'Resumen'!$B$14,'Tramos_red'!I7,"")</f>
        <v/>
      </c>
      <c r="H48" s="1">
        <f>IF(E48&gt;'Resumen'!$B$14,'Tramos_red'!K7,"")</f>
        <v/>
      </c>
      <c r="I48" s="1">
        <f>IF(E48&gt;'Resumen'!$B$14,'Tramos_red'!L7,"")</f>
        <v/>
      </c>
      <c r="J48" s="6">
        <f>IF(E48&gt;'Resumen'!$B$14,'Tramos_red'!AA7,0)</f>
        <v>0</v>
      </c>
      <c r="K48" s="6">
        <f>IF(E48&gt;'Resumen'!$B$14,'Tramos_red'!V7,0)</f>
        <v>0</v>
      </c>
      <c r="L48" s="1">
        <f>J48*'Entradas'!B13</f>
        <v>0</v>
      </c>
      <c r="M48" s="1">
        <f>K48*'Entradas'!B14</f>
        <v>0</v>
      </c>
      <c r="N48" s="1">
        <f>IF(E48&gt;'Resumen'!$B$14,'Tramos_red'!P7,0)</f>
        <v>0</v>
      </c>
      <c r="O48" s="1">
        <f>IF(E48&gt;'Resumen'!$B$14,'Tramos_red'!Q7,0)</f>
        <v>0</v>
      </c>
      <c r="P48" s="1">
        <f>IF(E48&gt;'Resumen'!$B$14,'Tramos_red'!R7,0)</f>
        <v>0</v>
      </c>
      <c r="Q48" s="1">
        <f>IF(E48&lt;='Resumen'!$B$14,0,IF('Entradas'!$B$5=0,"sin U",IF(P48=0,"infinita",E48/('Entradas'!$B$5*P48))))</f>
        <v>0</v>
      </c>
    </row>
    <row r="49" spans="1:17" ht="21" customHeight="1">
      <c r="A49" s="4" t="s">
        <v>148</v>
      </c>
      <c r="B49" s="1">
        <v>4</v>
      </c>
      <c r="C49" s="4" t="str">
        <f>'Entradas'!A14</f>
        <v>C4</v>
      </c>
      <c r="D49" s="4" t="str">
        <f>'Entradas'!A11</f>
        <v>H1</v>
      </c>
      <c r="E49" s="1">
        <f>'Tramos_red'!M7*'Tramos_red'!W7*'Tramos_red'!X7</f>
        <v>0.0</v>
      </c>
      <c r="F49" s="1">
        <f>IF(E49&gt;'Resumen'!$B$14,'Tramos_red'!J7,"")</f>
        <v/>
      </c>
      <c r="G49" s="1">
        <f>IF(E49&gt;'Resumen'!$B$14,'Tramos_red'!I7,"")</f>
        <v/>
      </c>
      <c r="H49" s="1">
        <f>IF(E49&gt;'Resumen'!$B$14,'Tramos_red'!K7,"")</f>
        <v/>
      </c>
      <c r="I49" s="1">
        <f>IF(E49&gt;'Resumen'!$B$14,'Tramos_red'!L7,"")</f>
        <v/>
      </c>
      <c r="J49" s="6">
        <f>IF(E49&gt;'Resumen'!$B$14,'Tramos_red'!X7,0)</f>
        <v>0</v>
      </c>
      <c r="K49" s="6">
        <f>IF(E49&gt;'Resumen'!$B$14,'Tramos_red'!W7,0)</f>
        <v>0</v>
      </c>
      <c r="L49" s="1">
        <f>J49*'Entradas'!B14</f>
        <v>0</v>
      </c>
      <c r="M49" s="1">
        <f>K49*'Entradas'!B11</f>
        <v>0</v>
      </c>
      <c r="N49" s="1">
        <f>IF(E49&gt;'Resumen'!$B$14,'Tramos_red'!P7,0)</f>
        <v>0</v>
      </c>
      <c r="O49" s="1">
        <f>IF(E49&gt;'Resumen'!$B$14,'Tramos_red'!Q7,0)</f>
        <v>0</v>
      </c>
      <c r="P49" s="1">
        <f>IF(E49&gt;'Resumen'!$B$14,'Tramos_red'!R7,0)</f>
        <v>0</v>
      </c>
      <c r="Q49" s="1">
        <f>IF(E49&lt;='Resumen'!$B$14,0,IF('Entradas'!$B$5=0,"sin U",IF(P49=0,"infinita",E49/('Entradas'!$B$5*P49))))</f>
        <v>0</v>
      </c>
    </row>
    <row r="50" spans="1:17" ht="21" customHeight="1">
      <c r="A50" s="4" t="s">
        <v>149</v>
      </c>
      <c r="B50" s="1">
        <v>4</v>
      </c>
      <c r="C50" s="4" t="str">
        <f>'Entradas'!A14</f>
        <v>C4</v>
      </c>
      <c r="D50" s="4" t="str">
        <f>'Entradas'!A12</f>
        <v>H2</v>
      </c>
      <c r="E50" s="1">
        <f>'Tramos_red'!M7*'Tramos_red'!W7*'Tramos_red'!Y7</f>
        <v>0.0</v>
      </c>
      <c r="F50" s="1">
        <f>IF(E50&gt;'Resumen'!$B$14,'Tramos_red'!J7,"")</f>
        <v/>
      </c>
      <c r="G50" s="1">
        <f>IF(E50&gt;'Resumen'!$B$14,'Tramos_red'!I7,"")</f>
        <v/>
      </c>
      <c r="H50" s="1">
        <f>IF(E50&gt;'Resumen'!$B$14,'Tramos_red'!K7,"")</f>
        <v/>
      </c>
      <c r="I50" s="1">
        <f>IF(E50&gt;'Resumen'!$B$14,'Tramos_red'!L7,"")</f>
        <v/>
      </c>
      <c r="J50" s="6">
        <f>IF(E50&gt;'Resumen'!$B$14,'Tramos_red'!Y7,0)</f>
        <v>0</v>
      </c>
      <c r="K50" s="6">
        <f>IF(E50&gt;'Resumen'!$B$14,'Tramos_red'!W7,0)</f>
        <v>0</v>
      </c>
      <c r="L50" s="1">
        <f>J50*'Entradas'!B14</f>
        <v>0</v>
      </c>
      <c r="M50" s="1">
        <f>K50*'Entradas'!B12</f>
        <v>0</v>
      </c>
      <c r="N50" s="1">
        <f>IF(E50&gt;'Resumen'!$B$14,'Tramos_red'!P7,0)</f>
        <v>0</v>
      </c>
      <c r="O50" s="1">
        <f>IF(E50&gt;'Resumen'!$B$14,'Tramos_red'!Q7,0)</f>
        <v>0</v>
      </c>
      <c r="P50" s="1">
        <f>IF(E50&gt;'Resumen'!$B$14,'Tramos_red'!R7,0)</f>
        <v>0</v>
      </c>
      <c r="Q50" s="1">
        <f>IF(E50&lt;='Resumen'!$B$14,0,IF('Entradas'!$B$5=0,"sin U",IF(P50=0,"infinita",E50/('Entradas'!$B$5*P50))))</f>
        <v>0</v>
      </c>
    </row>
    <row r="51" spans="1:17" ht="21" customHeight="1">
      <c r="A51" s="4" t="s">
        <v>150</v>
      </c>
      <c r="B51" s="1">
        <v>4</v>
      </c>
      <c r="C51" s="4" t="str">
        <f>'Entradas'!A14</f>
        <v>C4</v>
      </c>
      <c r="D51" s="4" t="str">
        <f>'Entradas'!A13</f>
        <v>C3</v>
      </c>
      <c r="E51" s="1">
        <f>'Tramos_red'!M7*'Tramos_red'!W7*'Tramos_red'!Z7</f>
        <v>0.0</v>
      </c>
      <c r="F51" s="1">
        <f>IF(E51&gt;'Resumen'!$B$14,'Tramos_red'!J7,"")</f>
        <v/>
      </c>
      <c r="G51" s="1">
        <f>IF(E51&gt;'Resumen'!$B$14,'Tramos_red'!I7,"")</f>
        <v/>
      </c>
      <c r="H51" s="1">
        <f>IF(E51&gt;'Resumen'!$B$14,'Tramos_red'!K7,"")</f>
        <v/>
      </c>
      <c r="I51" s="1">
        <f>IF(E51&gt;'Resumen'!$B$14,'Tramos_red'!L7,"")</f>
        <v/>
      </c>
      <c r="J51" s="6">
        <f>IF(E51&gt;'Resumen'!$B$14,'Tramos_red'!Z7,0)</f>
        <v>0</v>
      </c>
      <c r="K51" s="6">
        <f>IF(E51&gt;'Resumen'!$B$14,'Tramos_red'!W7,0)</f>
        <v>0</v>
      </c>
      <c r="L51" s="1">
        <f>J51*'Entradas'!B14</f>
        <v>0</v>
      </c>
      <c r="M51" s="1">
        <f>K51*'Entradas'!B13</f>
        <v>0</v>
      </c>
      <c r="N51" s="1">
        <f>IF(E51&gt;'Resumen'!$B$14,'Tramos_red'!P7,0)</f>
        <v>0</v>
      </c>
      <c r="O51" s="1">
        <f>IF(E51&gt;'Resumen'!$B$14,'Tramos_red'!Q7,0)</f>
        <v>0</v>
      </c>
      <c r="P51" s="1">
        <f>IF(E51&gt;'Resumen'!$B$14,'Tramos_red'!R7,0)</f>
        <v>0</v>
      </c>
      <c r="Q51" s="1">
        <f>IF(E51&lt;='Resumen'!$B$14,0,IF('Entradas'!$B$5=0,"sin U",IF(P51=0,"infinita",E51/('Entradas'!$B$5*P51))))</f>
        <v>0</v>
      </c>
    </row>
    <row r="52" spans="1:17" ht="21" customHeight="1">
      <c r="A52" s="4" t="s">
        <v>151</v>
      </c>
      <c r="B52" s="1">
        <v>5</v>
      </c>
      <c r="C52" s="4" t="str">
        <f>'Entradas'!A11</f>
        <v>H1</v>
      </c>
      <c r="D52" s="4" t="str">
        <f>'Entradas'!A12</f>
        <v>H2</v>
      </c>
      <c r="E52" s="1">
        <f>'Tramos_red'!M8*'Tramos_red'!T8*'Tramos_red'!Y8</f>
        <v>0.0</v>
      </c>
      <c r="F52" s="1">
        <f>IF(E52&gt;'Resumen'!$B$14,'Tramos_red'!J8,"")</f>
        <v/>
      </c>
      <c r="G52" s="1">
        <f>IF(E52&gt;'Resumen'!$B$14,'Tramos_red'!I8,"")</f>
        <v/>
      </c>
      <c r="H52" s="1">
        <f>IF(E52&gt;'Resumen'!$B$14,'Tramos_red'!K8,"")</f>
        <v/>
      </c>
      <c r="I52" s="1">
        <f>IF(E52&gt;'Resumen'!$B$14,'Tramos_red'!L8,"")</f>
        <v/>
      </c>
      <c r="J52" s="6">
        <f>IF(E52&gt;'Resumen'!$B$14,'Tramos_red'!Y8,0)</f>
        <v>0</v>
      </c>
      <c r="K52" s="6">
        <f>IF(E52&gt;'Resumen'!$B$14,'Tramos_red'!T8,0)</f>
        <v>0</v>
      </c>
      <c r="L52" s="1">
        <f>J52*'Entradas'!B11</f>
        <v>0</v>
      </c>
      <c r="M52" s="1">
        <f>K52*'Entradas'!B12</f>
        <v>0</v>
      </c>
      <c r="N52" s="1">
        <f>IF(E52&gt;'Resumen'!$B$14,'Tramos_red'!P8,0)</f>
        <v>0</v>
      </c>
      <c r="O52" s="1">
        <f>IF(E52&gt;'Resumen'!$B$14,'Tramos_red'!Q8,0)</f>
        <v>0</v>
      </c>
      <c r="P52" s="1">
        <f>IF(E52&gt;'Resumen'!$B$14,'Tramos_red'!R8,0)</f>
        <v>0</v>
      </c>
      <c r="Q52" s="1">
        <f>IF(E52&lt;='Resumen'!$B$14,0,IF('Entradas'!$B$5=0,"sin U",IF(P52=0,"infinita",E52/('Entradas'!$B$5*P52))))</f>
        <v>0</v>
      </c>
    </row>
    <row r="53" spans="1:17" ht="21" customHeight="1">
      <c r="A53" s="4" t="s">
        <v>152</v>
      </c>
      <c r="B53" s="1">
        <v>5</v>
      </c>
      <c r="C53" s="4" t="str">
        <f>'Entradas'!A11</f>
        <v>H1</v>
      </c>
      <c r="D53" s="4" t="str">
        <f>'Entradas'!A13</f>
        <v>C3</v>
      </c>
      <c r="E53" s="1">
        <f>'Tramos_red'!M8*'Tramos_red'!T8*'Tramos_red'!Z8</f>
        <v>8000.0</v>
      </c>
      <c r="F53" s="1">
        <f>IF(E53&gt;'Resumen'!$B$14,'Tramos_red'!J8,"")</f>
        <v>130.0</v>
      </c>
      <c r="G53" s="1">
        <f>IF(E53&gt;'Resumen'!$B$14,'Tramos_red'!I8,"")</f>
        <v>122.0</v>
      </c>
      <c r="H53" s="1">
        <f>IF(E53&gt;'Resumen'!$B$14,'Tramos_red'!K8,"")</f>
        <v>100.0</v>
      </c>
      <c r="I53" s="1">
        <f>IF(E53&gt;'Resumen'!$B$14,'Tramos_red'!L8,"")</f>
        <v>113.33333333333333</v>
      </c>
      <c r="J53" s="6">
        <f>IF(E53&gt;'Resumen'!$B$14,'Tramos_red'!Z8,0)</f>
        <v>1.0</v>
      </c>
      <c r="K53" s="6">
        <f>IF(E53&gt;'Resumen'!$B$14,'Tramos_red'!T8,0)</f>
        <v>0.2</v>
      </c>
      <c r="L53" s="1">
        <f>J53*'Entradas'!B11</f>
        <v>1000.0</v>
      </c>
      <c r="M53" s="1">
        <f>K53*'Entradas'!B13</f>
        <v>600.0</v>
      </c>
      <c r="N53" s="1">
        <f>IF(E53&gt;'Resumen'!$B$14,'Tramos_red'!P8,0)</f>
        <v>16.66666666666667</v>
      </c>
      <c r="O53" s="1">
        <f>IF(E53&gt;'Resumen'!$B$14,'Tramos_red'!Q8,0)</f>
        <v>22.0</v>
      </c>
      <c r="P53" s="1">
        <f>IF(E53&gt;'Resumen'!$B$14,'Tramos_red'!R8,0)</f>
        <v>19.21009967621398</v>
      </c>
      <c r="Q53" s="1" t="str">
        <f>IF(E53&lt;='Resumen'!$B$14,0,IF('Entradas'!$B$5=0,"sin U",IF(P53=0,"infinita",E53/('Entradas'!$B$5*P53))))</f>
        <v>sin U</v>
      </c>
    </row>
    <row r="54" spans="1:17" ht="21" customHeight="1">
      <c r="A54" s="4" t="s">
        <v>153</v>
      </c>
      <c r="B54" s="1">
        <v>5</v>
      </c>
      <c r="C54" s="4" t="str">
        <f>'Entradas'!A11</f>
        <v>H1</v>
      </c>
      <c r="D54" s="4" t="str">
        <f>'Entradas'!A14</f>
        <v>C4</v>
      </c>
      <c r="E54" s="1">
        <f>'Tramos_red'!M8*'Tramos_red'!T8*'Tramos_red'!AA8</f>
        <v>0.0</v>
      </c>
      <c r="F54" s="1">
        <f>IF(E54&gt;'Resumen'!$B$14,'Tramos_red'!J8,"")</f>
        <v/>
      </c>
      <c r="G54" s="1">
        <f>IF(E54&gt;'Resumen'!$B$14,'Tramos_red'!I8,"")</f>
        <v/>
      </c>
      <c r="H54" s="1">
        <f>IF(E54&gt;'Resumen'!$B$14,'Tramos_red'!K8,"")</f>
        <v/>
      </c>
      <c r="I54" s="1">
        <f>IF(E54&gt;'Resumen'!$B$14,'Tramos_red'!L8,"")</f>
        <v/>
      </c>
      <c r="J54" s="6">
        <f>IF(E54&gt;'Resumen'!$B$14,'Tramos_red'!AA8,0)</f>
        <v>0</v>
      </c>
      <c r="K54" s="6">
        <f>IF(E54&gt;'Resumen'!$B$14,'Tramos_red'!T8,0)</f>
        <v>0</v>
      </c>
      <c r="L54" s="1">
        <f>J54*'Entradas'!B11</f>
        <v>0</v>
      </c>
      <c r="M54" s="1">
        <f>K54*'Entradas'!B14</f>
        <v>0</v>
      </c>
      <c r="N54" s="1">
        <f>IF(E54&gt;'Resumen'!$B$14,'Tramos_red'!P8,0)</f>
        <v>0</v>
      </c>
      <c r="O54" s="1">
        <f>IF(E54&gt;'Resumen'!$B$14,'Tramos_red'!Q8,0)</f>
        <v>0</v>
      </c>
      <c r="P54" s="1">
        <f>IF(E54&gt;'Resumen'!$B$14,'Tramos_red'!R8,0)</f>
        <v>0</v>
      </c>
      <c r="Q54" s="1">
        <f>IF(E54&lt;='Resumen'!$B$14,0,IF('Entradas'!$B$5=0,"sin U",IF(P54=0,"infinita",E54/('Entradas'!$B$5*P54))))</f>
        <v>0</v>
      </c>
    </row>
    <row r="55" spans="1:17" ht="21" customHeight="1">
      <c r="A55" s="4" t="s">
        <v>154</v>
      </c>
      <c r="B55" s="1">
        <v>5</v>
      </c>
      <c r="C55" s="4" t="str">
        <f>'Entradas'!A12</f>
        <v>H2</v>
      </c>
      <c r="D55" s="4" t="str">
        <f>'Entradas'!A11</f>
        <v>H1</v>
      </c>
      <c r="E55" s="1">
        <f>'Tramos_red'!M8*'Tramos_red'!U8*'Tramos_red'!X8</f>
        <v>0.0</v>
      </c>
      <c r="F55" s="1">
        <f>IF(E55&gt;'Resumen'!$B$14,'Tramos_red'!J8,"")</f>
        <v/>
      </c>
      <c r="G55" s="1">
        <f>IF(E55&gt;'Resumen'!$B$14,'Tramos_red'!I8,"")</f>
        <v/>
      </c>
      <c r="H55" s="1">
        <f>IF(E55&gt;'Resumen'!$B$14,'Tramos_red'!K8,"")</f>
        <v/>
      </c>
      <c r="I55" s="1">
        <f>IF(E55&gt;'Resumen'!$B$14,'Tramos_red'!L8,"")</f>
        <v/>
      </c>
      <c r="J55" s="6">
        <f>IF(E55&gt;'Resumen'!$B$14,'Tramos_red'!X8,0)</f>
        <v>0</v>
      </c>
      <c r="K55" s="6">
        <f>IF(E55&gt;'Resumen'!$B$14,'Tramos_red'!U8,0)</f>
        <v>0</v>
      </c>
      <c r="L55" s="1">
        <f>J55*'Entradas'!B12</f>
        <v>0</v>
      </c>
      <c r="M55" s="1">
        <f>K55*'Entradas'!B11</f>
        <v>0</v>
      </c>
      <c r="N55" s="1">
        <f>IF(E55&gt;'Resumen'!$B$14,'Tramos_red'!P8,0)</f>
        <v>0</v>
      </c>
      <c r="O55" s="1">
        <f>IF(E55&gt;'Resumen'!$B$14,'Tramos_red'!Q8,0)</f>
        <v>0</v>
      </c>
      <c r="P55" s="1">
        <f>IF(E55&gt;'Resumen'!$B$14,'Tramos_red'!R8,0)</f>
        <v>0</v>
      </c>
      <c r="Q55" s="1">
        <f>IF(E55&lt;='Resumen'!$B$14,0,IF('Entradas'!$B$5=0,"sin U",IF(P55=0,"infinita",E55/('Entradas'!$B$5*P55))))</f>
        <v>0</v>
      </c>
    </row>
    <row r="56" spans="1:17" ht="21" customHeight="1">
      <c r="A56" s="4" t="s">
        <v>155</v>
      </c>
      <c r="B56" s="1">
        <v>5</v>
      </c>
      <c r="C56" s="4" t="str">
        <f>'Entradas'!A12</f>
        <v>H2</v>
      </c>
      <c r="D56" s="4" t="str">
        <f>'Entradas'!A13</f>
        <v>C3</v>
      </c>
      <c r="E56" s="1">
        <f>'Tramos_red'!M8*'Tramos_red'!U8*'Tramos_red'!Z8</f>
        <v>32000.0</v>
      </c>
      <c r="F56" s="1">
        <f>IF(E56&gt;'Resumen'!$B$14,'Tramos_red'!J8,"")</f>
        <v>130.0</v>
      </c>
      <c r="G56" s="1">
        <f>IF(E56&gt;'Resumen'!$B$14,'Tramos_red'!I8,"")</f>
        <v>122.0</v>
      </c>
      <c r="H56" s="1">
        <f>IF(E56&gt;'Resumen'!$B$14,'Tramos_red'!K8,"")</f>
        <v>100.0</v>
      </c>
      <c r="I56" s="1">
        <f>IF(E56&gt;'Resumen'!$B$14,'Tramos_red'!L8,"")</f>
        <v>113.33333333333333</v>
      </c>
      <c r="J56" s="6">
        <f>IF(E56&gt;'Resumen'!$B$14,'Tramos_red'!Z8,0)</f>
        <v>1.0</v>
      </c>
      <c r="K56" s="6">
        <f>IF(E56&gt;'Resumen'!$B$14,'Tramos_red'!U8,0)</f>
        <v>0.8</v>
      </c>
      <c r="L56" s="1">
        <f>J56*'Entradas'!B12</f>
        <v>4000.0</v>
      </c>
      <c r="M56" s="1">
        <f>K56*'Entradas'!B13</f>
        <v>2400.0</v>
      </c>
      <c r="N56" s="1">
        <f>IF(E56&gt;'Resumen'!$B$14,'Tramos_red'!P8,0)</f>
        <v>16.66666666666667</v>
      </c>
      <c r="O56" s="1">
        <f>IF(E56&gt;'Resumen'!$B$14,'Tramos_red'!Q8,0)</f>
        <v>22.0</v>
      </c>
      <c r="P56" s="1">
        <f>IF(E56&gt;'Resumen'!$B$14,'Tramos_red'!R8,0)</f>
        <v>19.21009967621398</v>
      </c>
      <c r="Q56" s="1" t="str">
        <f>IF(E56&lt;='Resumen'!$B$14,0,IF('Entradas'!$B$5=0,"sin U",IF(P56=0,"infinita",E56/('Entradas'!$B$5*P56))))</f>
        <v>sin U</v>
      </c>
    </row>
    <row r="57" spans="1:17" ht="21" customHeight="1">
      <c r="A57" s="4" t="s">
        <v>156</v>
      </c>
      <c r="B57" s="1">
        <v>5</v>
      </c>
      <c r="C57" s="4" t="str">
        <f>'Entradas'!A12</f>
        <v>H2</v>
      </c>
      <c r="D57" s="4" t="str">
        <f>'Entradas'!A14</f>
        <v>C4</v>
      </c>
      <c r="E57" s="1">
        <f>'Tramos_red'!M8*'Tramos_red'!U8*'Tramos_red'!AA8</f>
        <v>0.0</v>
      </c>
      <c r="F57" s="1">
        <f>IF(E57&gt;'Resumen'!$B$14,'Tramos_red'!J8,"")</f>
        <v/>
      </c>
      <c r="G57" s="1">
        <f>IF(E57&gt;'Resumen'!$B$14,'Tramos_red'!I8,"")</f>
        <v/>
      </c>
      <c r="H57" s="1">
        <f>IF(E57&gt;'Resumen'!$B$14,'Tramos_red'!K8,"")</f>
        <v/>
      </c>
      <c r="I57" s="1">
        <f>IF(E57&gt;'Resumen'!$B$14,'Tramos_red'!L8,"")</f>
        <v/>
      </c>
      <c r="J57" s="6">
        <f>IF(E57&gt;'Resumen'!$B$14,'Tramos_red'!AA8,0)</f>
        <v>0</v>
      </c>
      <c r="K57" s="6">
        <f>IF(E57&gt;'Resumen'!$B$14,'Tramos_red'!U8,0)</f>
        <v>0</v>
      </c>
      <c r="L57" s="1">
        <f>J57*'Entradas'!B12</f>
        <v>0</v>
      </c>
      <c r="M57" s="1">
        <f>K57*'Entradas'!B14</f>
        <v>0</v>
      </c>
      <c r="N57" s="1">
        <f>IF(E57&gt;'Resumen'!$B$14,'Tramos_red'!P8,0)</f>
        <v>0</v>
      </c>
      <c r="O57" s="1">
        <f>IF(E57&gt;'Resumen'!$B$14,'Tramos_red'!Q8,0)</f>
        <v>0</v>
      </c>
      <c r="P57" s="1">
        <f>IF(E57&gt;'Resumen'!$B$14,'Tramos_red'!R8,0)</f>
        <v>0</v>
      </c>
      <c r="Q57" s="1">
        <f>IF(E57&lt;='Resumen'!$B$14,0,IF('Entradas'!$B$5=0,"sin U",IF(P57=0,"infinita",E57/('Entradas'!$B$5*P57))))</f>
        <v>0</v>
      </c>
    </row>
    <row r="58" spans="1:17" ht="21" customHeight="1">
      <c r="A58" s="4" t="s">
        <v>157</v>
      </c>
      <c r="B58" s="1">
        <v>5</v>
      </c>
      <c r="C58" s="4" t="str">
        <f>'Entradas'!A13</f>
        <v>C3</v>
      </c>
      <c r="D58" s="4" t="str">
        <f>'Entradas'!A11</f>
        <v>H1</v>
      </c>
      <c r="E58" s="1">
        <f>'Tramos_red'!M8*'Tramos_red'!V8*'Tramos_red'!X8</f>
        <v>0.0</v>
      </c>
      <c r="F58" s="1">
        <f>IF(E58&gt;'Resumen'!$B$14,'Tramos_red'!J8,"")</f>
        <v/>
      </c>
      <c r="G58" s="1">
        <f>IF(E58&gt;'Resumen'!$B$14,'Tramos_red'!I8,"")</f>
        <v/>
      </c>
      <c r="H58" s="1">
        <f>IF(E58&gt;'Resumen'!$B$14,'Tramos_red'!K8,"")</f>
        <v/>
      </c>
      <c r="I58" s="1">
        <f>IF(E58&gt;'Resumen'!$B$14,'Tramos_red'!L8,"")</f>
        <v/>
      </c>
      <c r="J58" s="6">
        <f>IF(E58&gt;'Resumen'!$B$14,'Tramos_red'!X8,0)</f>
        <v>0</v>
      </c>
      <c r="K58" s="6">
        <f>IF(E58&gt;'Resumen'!$B$14,'Tramos_red'!V8,0)</f>
        <v>0</v>
      </c>
      <c r="L58" s="1">
        <f>J58*'Entradas'!B13</f>
        <v>0</v>
      </c>
      <c r="M58" s="1">
        <f>K58*'Entradas'!B11</f>
        <v>0</v>
      </c>
      <c r="N58" s="1">
        <f>IF(E58&gt;'Resumen'!$B$14,'Tramos_red'!P8,0)</f>
        <v>0</v>
      </c>
      <c r="O58" s="1">
        <f>IF(E58&gt;'Resumen'!$B$14,'Tramos_red'!Q8,0)</f>
        <v>0</v>
      </c>
      <c r="P58" s="1">
        <f>IF(E58&gt;'Resumen'!$B$14,'Tramos_red'!R8,0)</f>
        <v>0</v>
      </c>
      <c r="Q58" s="1">
        <f>IF(E58&lt;='Resumen'!$B$14,0,IF('Entradas'!$B$5=0,"sin U",IF(P58=0,"infinita",E58/('Entradas'!$B$5*P58))))</f>
        <v>0</v>
      </c>
    </row>
    <row r="59" spans="1:17" ht="21" customHeight="1">
      <c r="A59" s="4" t="s">
        <v>158</v>
      </c>
      <c r="B59" s="1">
        <v>5</v>
      </c>
      <c r="C59" s="4" t="str">
        <f>'Entradas'!A13</f>
        <v>C3</v>
      </c>
      <c r="D59" s="4" t="str">
        <f>'Entradas'!A12</f>
        <v>H2</v>
      </c>
      <c r="E59" s="1">
        <f>'Tramos_red'!M8*'Tramos_red'!V8*'Tramos_red'!Y8</f>
        <v>0.0</v>
      </c>
      <c r="F59" s="1">
        <f>IF(E59&gt;'Resumen'!$B$14,'Tramos_red'!J8,"")</f>
        <v/>
      </c>
      <c r="G59" s="1">
        <f>IF(E59&gt;'Resumen'!$B$14,'Tramos_red'!I8,"")</f>
        <v/>
      </c>
      <c r="H59" s="1">
        <f>IF(E59&gt;'Resumen'!$B$14,'Tramos_red'!K8,"")</f>
        <v/>
      </c>
      <c r="I59" s="1">
        <f>IF(E59&gt;'Resumen'!$B$14,'Tramos_red'!L8,"")</f>
        <v/>
      </c>
      <c r="J59" s="6">
        <f>IF(E59&gt;'Resumen'!$B$14,'Tramos_red'!Y8,0)</f>
        <v>0</v>
      </c>
      <c r="K59" s="6">
        <f>IF(E59&gt;'Resumen'!$B$14,'Tramos_red'!V8,0)</f>
        <v>0</v>
      </c>
      <c r="L59" s="1">
        <f>J59*'Entradas'!B13</f>
        <v>0</v>
      </c>
      <c r="M59" s="1">
        <f>K59*'Entradas'!B12</f>
        <v>0</v>
      </c>
      <c r="N59" s="1">
        <f>IF(E59&gt;'Resumen'!$B$14,'Tramos_red'!P8,0)</f>
        <v>0</v>
      </c>
      <c r="O59" s="1">
        <f>IF(E59&gt;'Resumen'!$B$14,'Tramos_red'!Q8,0)</f>
        <v>0</v>
      </c>
      <c r="P59" s="1">
        <f>IF(E59&gt;'Resumen'!$B$14,'Tramos_red'!R8,0)</f>
        <v>0</v>
      </c>
      <c r="Q59" s="1">
        <f>IF(E59&lt;='Resumen'!$B$14,0,IF('Entradas'!$B$5=0,"sin U",IF(P59=0,"infinita",E59/('Entradas'!$B$5*P59))))</f>
        <v>0</v>
      </c>
    </row>
    <row r="60" spans="1:17" ht="21" customHeight="1">
      <c r="A60" s="4" t="s">
        <v>159</v>
      </c>
      <c r="B60" s="1">
        <v>5</v>
      </c>
      <c r="C60" s="4" t="str">
        <f>'Entradas'!A13</f>
        <v>C3</v>
      </c>
      <c r="D60" s="4" t="str">
        <f>'Entradas'!A14</f>
        <v>C4</v>
      </c>
      <c r="E60" s="1">
        <f>'Tramos_red'!M8*'Tramos_red'!V8*'Tramos_red'!AA8</f>
        <v>0.0</v>
      </c>
      <c r="F60" s="1">
        <f>IF(E60&gt;'Resumen'!$B$14,'Tramos_red'!J8,"")</f>
        <v/>
      </c>
      <c r="G60" s="1">
        <f>IF(E60&gt;'Resumen'!$B$14,'Tramos_red'!I8,"")</f>
        <v/>
      </c>
      <c r="H60" s="1">
        <f>IF(E60&gt;'Resumen'!$B$14,'Tramos_red'!K8,"")</f>
        <v/>
      </c>
      <c r="I60" s="1">
        <f>IF(E60&gt;'Resumen'!$B$14,'Tramos_red'!L8,"")</f>
        <v/>
      </c>
      <c r="J60" s="6">
        <f>IF(E60&gt;'Resumen'!$B$14,'Tramos_red'!AA8,0)</f>
        <v>0</v>
      </c>
      <c r="K60" s="6">
        <f>IF(E60&gt;'Resumen'!$B$14,'Tramos_red'!V8,0)</f>
        <v>0</v>
      </c>
      <c r="L60" s="1">
        <f>J60*'Entradas'!B13</f>
        <v>0</v>
      </c>
      <c r="M60" s="1">
        <f>K60*'Entradas'!B14</f>
        <v>0</v>
      </c>
      <c r="N60" s="1">
        <f>IF(E60&gt;'Resumen'!$B$14,'Tramos_red'!P8,0)</f>
        <v>0</v>
      </c>
      <c r="O60" s="1">
        <f>IF(E60&gt;'Resumen'!$B$14,'Tramos_red'!Q8,0)</f>
        <v>0</v>
      </c>
      <c r="P60" s="1">
        <f>IF(E60&gt;'Resumen'!$B$14,'Tramos_red'!R8,0)</f>
        <v>0</v>
      </c>
      <c r="Q60" s="1">
        <f>IF(E60&lt;='Resumen'!$B$14,0,IF('Entradas'!$B$5=0,"sin U",IF(P60=0,"infinita",E60/('Entradas'!$B$5*P60))))</f>
        <v>0</v>
      </c>
    </row>
    <row r="61" spans="1:17" ht="21" customHeight="1">
      <c r="A61" s="4" t="s">
        <v>160</v>
      </c>
      <c r="B61" s="1">
        <v>5</v>
      </c>
      <c r="C61" s="4" t="str">
        <f>'Entradas'!A14</f>
        <v>C4</v>
      </c>
      <c r="D61" s="4" t="str">
        <f>'Entradas'!A11</f>
        <v>H1</v>
      </c>
      <c r="E61" s="1">
        <f>'Tramos_red'!M8*'Tramos_red'!W8*'Tramos_red'!X8</f>
        <v>0.0</v>
      </c>
      <c r="F61" s="1">
        <f>IF(E61&gt;'Resumen'!$B$14,'Tramos_red'!J8,"")</f>
        <v/>
      </c>
      <c r="G61" s="1">
        <f>IF(E61&gt;'Resumen'!$B$14,'Tramos_red'!I8,"")</f>
        <v/>
      </c>
      <c r="H61" s="1">
        <f>IF(E61&gt;'Resumen'!$B$14,'Tramos_red'!K8,"")</f>
        <v/>
      </c>
      <c r="I61" s="1">
        <f>IF(E61&gt;'Resumen'!$B$14,'Tramos_red'!L8,"")</f>
        <v/>
      </c>
      <c r="J61" s="6">
        <f>IF(E61&gt;'Resumen'!$B$14,'Tramos_red'!X8,0)</f>
        <v>0</v>
      </c>
      <c r="K61" s="6">
        <f>IF(E61&gt;'Resumen'!$B$14,'Tramos_red'!W8,0)</f>
        <v>0</v>
      </c>
      <c r="L61" s="1">
        <f>J61*'Entradas'!B14</f>
        <v>0</v>
      </c>
      <c r="M61" s="1">
        <f>K61*'Entradas'!B11</f>
        <v>0</v>
      </c>
      <c r="N61" s="1">
        <f>IF(E61&gt;'Resumen'!$B$14,'Tramos_red'!P8,0)</f>
        <v>0</v>
      </c>
      <c r="O61" s="1">
        <f>IF(E61&gt;'Resumen'!$B$14,'Tramos_red'!Q8,0)</f>
        <v>0</v>
      </c>
      <c r="P61" s="1">
        <f>IF(E61&gt;'Resumen'!$B$14,'Tramos_red'!R8,0)</f>
        <v>0</v>
      </c>
      <c r="Q61" s="1">
        <f>IF(E61&lt;='Resumen'!$B$14,0,IF('Entradas'!$B$5=0,"sin U",IF(P61=0,"infinita",E61/('Entradas'!$B$5*P61))))</f>
        <v>0</v>
      </c>
    </row>
    <row r="62" spans="1:17" ht="21" customHeight="1">
      <c r="A62" s="4" t="s">
        <v>161</v>
      </c>
      <c r="B62" s="1">
        <v>5</v>
      </c>
      <c r="C62" s="4" t="str">
        <f>'Entradas'!A14</f>
        <v>C4</v>
      </c>
      <c r="D62" s="4" t="str">
        <f>'Entradas'!A12</f>
        <v>H2</v>
      </c>
      <c r="E62" s="1">
        <f>'Tramos_red'!M8*'Tramos_red'!W8*'Tramos_red'!Y8</f>
        <v>0.0</v>
      </c>
      <c r="F62" s="1">
        <f>IF(E62&gt;'Resumen'!$B$14,'Tramos_red'!J8,"")</f>
        <v/>
      </c>
      <c r="G62" s="1">
        <f>IF(E62&gt;'Resumen'!$B$14,'Tramos_red'!I8,"")</f>
        <v/>
      </c>
      <c r="H62" s="1">
        <f>IF(E62&gt;'Resumen'!$B$14,'Tramos_red'!K8,"")</f>
        <v/>
      </c>
      <c r="I62" s="1">
        <f>IF(E62&gt;'Resumen'!$B$14,'Tramos_red'!L8,"")</f>
        <v/>
      </c>
      <c r="J62" s="6">
        <f>IF(E62&gt;'Resumen'!$B$14,'Tramos_red'!Y8,0)</f>
        <v>0</v>
      </c>
      <c r="K62" s="6">
        <f>IF(E62&gt;'Resumen'!$B$14,'Tramos_red'!W8,0)</f>
        <v>0</v>
      </c>
      <c r="L62" s="1">
        <f>J62*'Entradas'!B14</f>
        <v>0</v>
      </c>
      <c r="M62" s="1">
        <f>K62*'Entradas'!B12</f>
        <v>0</v>
      </c>
      <c r="N62" s="1">
        <f>IF(E62&gt;'Resumen'!$B$14,'Tramos_red'!P8,0)</f>
        <v>0</v>
      </c>
      <c r="O62" s="1">
        <f>IF(E62&gt;'Resumen'!$B$14,'Tramos_red'!Q8,0)</f>
        <v>0</v>
      </c>
      <c r="P62" s="1">
        <f>IF(E62&gt;'Resumen'!$B$14,'Tramos_red'!R8,0)</f>
        <v>0</v>
      </c>
      <c r="Q62" s="1">
        <f>IF(E62&lt;='Resumen'!$B$14,0,IF('Entradas'!$B$5=0,"sin U",IF(P62=0,"infinita",E62/('Entradas'!$B$5*P62))))</f>
        <v>0</v>
      </c>
    </row>
    <row r="63" spans="1:17" ht="21" customHeight="1">
      <c r="A63" s="4" t="s">
        <v>162</v>
      </c>
      <c r="B63" s="1">
        <v>5</v>
      </c>
      <c r="C63" s="4" t="str">
        <f>'Entradas'!A14</f>
        <v>C4</v>
      </c>
      <c r="D63" s="4" t="str">
        <f>'Entradas'!A13</f>
        <v>C3</v>
      </c>
      <c r="E63" s="1">
        <f>'Tramos_red'!M8*'Tramos_red'!W8*'Tramos_red'!Z8</f>
        <v>0.0</v>
      </c>
      <c r="F63" s="1">
        <f>IF(E63&gt;'Resumen'!$B$14,'Tramos_red'!J8,"")</f>
        <v/>
      </c>
      <c r="G63" s="1">
        <f>IF(E63&gt;'Resumen'!$B$14,'Tramos_red'!I8,"")</f>
        <v/>
      </c>
      <c r="H63" s="1">
        <f>IF(E63&gt;'Resumen'!$B$14,'Tramos_red'!K8,"")</f>
        <v/>
      </c>
      <c r="I63" s="1">
        <f>IF(E63&gt;'Resumen'!$B$14,'Tramos_red'!L8,"")</f>
        <v/>
      </c>
      <c r="J63" s="6">
        <f>IF(E63&gt;'Resumen'!$B$14,'Tramos_red'!Z8,0)</f>
        <v>0</v>
      </c>
      <c r="K63" s="6">
        <f>IF(E63&gt;'Resumen'!$B$14,'Tramos_red'!W8,0)</f>
        <v>0</v>
      </c>
      <c r="L63" s="1">
        <f>J63*'Entradas'!B14</f>
        <v>0</v>
      </c>
      <c r="M63" s="1">
        <f>K63*'Entradas'!B13</f>
        <v>0</v>
      </c>
      <c r="N63" s="1">
        <f>IF(E63&gt;'Resumen'!$B$14,'Tramos_red'!P8,0)</f>
        <v>0</v>
      </c>
      <c r="O63" s="1">
        <f>IF(E63&gt;'Resumen'!$B$14,'Tramos_red'!Q8,0)</f>
        <v>0</v>
      </c>
      <c r="P63" s="1">
        <f>IF(E63&gt;'Resumen'!$B$14,'Tramos_red'!R8,0)</f>
        <v>0</v>
      </c>
      <c r="Q63" s="1">
        <f>IF(E63&lt;='Resumen'!$B$14,0,IF('Entradas'!$B$5=0,"sin U",IF(P63=0,"infinita",E63/('Entradas'!$B$5*P63))))</f>
        <v>0</v>
      </c>
    </row>
    <row r="64" spans="1:17" ht="21" customHeight="1">
      <c r="A64" s="4" t="s">
        <v>163</v>
      </c>
      <c r="B64" s="1">
        <v>6</v>
      </c>
      <c r="C64" s="4" t="str">
        <f>'Entradas'!A11</f>
        <v>H1</v>
      </c>
      <c r="D64" s="4" t="str">
        <f>'Entradas'!A12</f>
        <v>H2</v>
      </c>
      <c r="E64" s="1">
        <f>'Tramos_red'!M9*'Tramos_red'!T9*'Tramos_red'!Y9</f>
        <v>0.0</v>
      </c>
      <c r="F64" s="1">
        <f>IF(E64&gt;'Resumen'!$B$14,'Tramos_red'!J9,"")</f>
        <v/>
      </c>
      <c r="G64" s="1">
        <f>IF(E64&gt;'Resumen'!$B$14,'Tramos_red'!I9,"")</f>
        <v/>
      </c>
      <c r="H64" s="1">
        <f>IF(E64&gt;'Resumen'!$B$14,'Tramos_red'!K9,"")</f>
        <v/>
      </c>
      <c r="I64" s="1">
        <f>IF(E64&gt;'Resumen'!$B$14,'Tramos_red'!L9,"")</f>
        <v/>
      </c>
      <c r="J64" s="6">
        <f>IF(E64&gt;'Resumen'!$B$14,'Tramos_red'!Y9,0)</f>
        <v>0</v>
      </c>
      <c r="K64" s="6">
        <f>IF(E64&gt;'Resumen'!$B$14,'Tramos_red'!T9,0)</f>
        <v>0</v>
      </c>
      <c r="L64" s="1">
        <f>J64*'Entradas'!B11</f>
        <v>0</v>
      </c>
      <c r="M64" s="1">
        <f>K64*'Entradas'!B12</f>
        <v>0</v>
      </c>
      <c r="N64" s="1">
        <f>IF(E64&gt;'Resumen'!$B$14,'Tramos_red'!P9,0)</f>
        <v>0</v>
      </c>
      <c r="O64" s="1">
        <f>IF(E64&gt;'Resumen'!$B$14,'Tramos_red'!Q9,0)</f>
        <v>0</v>
      </c>
      <c r="P64" s="1">
        <f>IF(E64&gt;'Resumen'!$B$14,'Tramos_red'!R9,0)</f>
        <v>0</v>
      </c>
      <c r="Q64" s="1">
        <f>IF(E64&lt;='Resumen'!$B$14,0,IF('Entradas'!$B$5=0,"sin U",IF(P64=0,"infinita",E64/('Entradas'!$B$5*P64))))</f>
        <v>0</v>
      </c>
    </row>
    <row r="65" spans="1:17" ht="21" customHeight="1">
      <c r="A65" s="4" t="s">
        <v>164</v>
      </c>
      <c r="B65" s="1">
        <v>6</v>
      </c>
      <c r="C65" s="4" t="str">
        <f>'Entradas'!A11</f>
        <v>H1</v>
      </c>
      <c r="D65" s="4" t="str">
        <f>'Entradas'!A13</f>
        <v>C3</v>
      </c>
      <c r="E65" s="1">
        <f>'Tramos_red'!M9*'Tramos_red'!T9*'Tramos_red'!Z9</f>
        <v>4000.0</v>
      </c>
      <c r="F65" s="1">
        <f>IF(E65&gt;'Resumen'!$B$14,'Tramos_red'!J9,"")</f>
        <v>134.0</v>
      </c>
      <c r="G65" s="1">
        <f>IF(E65&gt;'Resumen'!$B$14,'Tramos_red'!I9,"")</f>
        <v>130.0</v>
      </c>
      <c r="H65" s="1">
        <f>IF(E65&gt;'Resumen'!$B$14,'Tramos_red'!K9,"")</f>
        <v>113.33333333333333</v>
      </c>
      <c r="I65" s="1">
        <f>IF(E65&gt;'Resumen'!$B$14,'Tramos_red'!L9,"")</f>
        <v>120.0</v>
      </c>
      <c r="J65" s="6">
        <f>IF(E65&gt;'Resumen'!$B$14,'Tramos_red'!Z9,0)</f>
        <v>1.0</v>
      </c>
      <c r="K65" s="6">
        <f>IF(E65&gt;'Resumen'!$B$14,'Tramos_red'!T9,0)</f>
        <v>0.2</v>
      </c>
      <c r="L65" s="1">
        <f>J65*'Entradas'!B11</f>
        <v>1000.0</v>
      </c>
      <c r="M65" s="1">
        <f>K65*'Entradas'!B13</f>
        <v>600.0</v>
      </c>
      <c r="N65" s="1">
        <f>IF(E65&gt;'Resumen'!$B$14,'Tramos_red'!P9,0)</f>
        <v>14.0</v>
      </c>
      <c r="O65" s="1">
        <f>IF(E65&gt;'Resumen'!$B$14,'Tramos_red'!Q9,0)</f>
        <v>16.66666666666667</v>
      </c>
      <c r="P65" s="1">
        <f>IF(E65&gt;'Resumen'!$B$14,'Tramos_red'!R9,0)</f>
        <v>15.294607752313684</v>
      </c>
      <c r="Q65" s="1" t="str">
        <f>IF(E65&lt;='Resumen'!$B$14,0,IF('Entradas'!$B$5=0,"sin U",IF(P65=0,"infinita",E65/('Entradas'!$B$5*P65))))</f>
        <v>sin U</v>
      </c>
    </row>
    <row r="66" spans="1:17" ht="21" customHeight="1">
      <c r="A66" s="4" t="s">
        <v>165</v>
      </c>
      <c r="B66" s="1">
        <v>6</v>
      </c>
      <c r="C66" s="4" t="str">
        <f>'Entradas'!A11</f>
        <v>H1</v>
      </c>
      <c r="D66" s="4" t="str">
        <f>'Entradas'!A14</f>
        <v>C4</v>
      </c>
      <c r="E66" s="1">
        <f>'Tramos_red'!M9*'Tramos_red'!T9*'Tramos_red'!AA9</f>
        <v>0.0</v>
      </c>
      <c r="F66" s="1">
        <f>IF(E66&gt;'Resumen'!$B$14,'Tramos_red'!J9,"")</f>
        <v/>
      </c>
      <c r="G66" s="1">
        <f>IF(E66&gt;'Resumen'!$B$14,'Tramos_red'!I9,"")</f>
        <v/>
      </c>
      <c r="H66" s="1">
        <f>IF(E66&gt;'Resumen'!$B$14,'Tramos_red'!K9,"")</f>
        <v/>
      </c>
      <c r="I66" s="1">
        <f>IF(E66&gt;'Resumen'!$B$14,'Tramos_red'!L9,"")</f>
        <v/>
      </c>
      <c r="J66" s="6">
        <f>IF(E66&gt;'Resumen'!$B$14,'Tramos_red'!AA9,0)</f>
        <v>0</v>
      </c>
      <c r="K66" s="6">
        <f>IF(E66&gt;'Resumen'!$B$14,'Tramos_red'!T9,0)</f>
        <v>0</v>
      </c>
      <c r="L66" s="1">
        <f>J66*'Entradas'!B11</f>
        <v>0</v>
      </c>
      <c r="M66" s="1">
        <f>K66*'Entradas'!B14</f>
        <v>0</v>
      </c>
      <c r="N66" s="1">
        <f>IF(E66&gt;'Resumen'!$B$14,'Tramos_red'!P9,0)</f>
        <v>0</v>
      </c>
      <c r="O66" s="1">
        <f>IF(E66&gt;'Resumen'!$B$14,'Tramos_red'!Q9,0)</f>
        <v>0</v>
      </c>
      <c r="P66" s="1">
        <f>IF(E66&gt;'Resumen'!$B$14,'Tramos_red'!R9,0)</f>
        <v>0</v>
      </c>
      <c r="Q66" s="1">
        <f>IF(E66&lt;='Resumen'!$B$14,0,IF('Entradas'!$B$5=0,"sin U",IF(P66=0,"infinita",E66/('Entradas'!$B$5*P66))))</f>
        <v>0</v>
      </c>
    </row>
    <row r="67" spans="1:17" ht="21" customHeight="1">
      <c r="A67" s="4" t="s">
        <v>166</v>
      </c>
      <c r="B67" s="1">
        <v>6</v>
      </c>
      <c r="C67" s="4" t="str">
        <f>'Entradas'!A12</f>
        <v>H2</v>
      </c>
      <c r="D67" s="4" t="str">
        <f>'Entradas'!A11</f>
        <v>H1</v>
      </c>
      <c r="E67" s="1">
        <f>'Tramos_red'!M9*'Tramos_red'!U9*'Tramos_red'!X9</f>
        <v>0.0</v>
      </c>
      <c r="F67" s="1">
        <f>IF(E67&gt;'Resumen'!$B$14,'Tramos_red'!J9,"")</f>
        <v/>
      </c>
      <c r="G67" s="1">
        <f>IF(E67&gt;'Resumen'!$B$14,'Tramos_red'!I9,"")</f>
        <v/>
      </c>
      <c r="H67" s="1">
        <f>IF(E67&gt;'Resumen'!$B$14,'Tramos_red'!K9,"")</f>
        <v/>
      </c>
      <c r="I67" s="1">
        <f>IF(E67&gt;'Resumen'!$B$14,'Tramos_red'!L9,"")</f>
        <v/>
      </c>
      <c r="J67" s="6">
        <f>IF(E67&gt;'Resumen'!$B$14,'Tramos_red'!X9,0)</f>
        <v>0</v>
      </c>
      <c r="K67" s="6">
        <f>IF(E67&gt;'Resumen'!$B$14,'Tramos_red'!U9,0)</f>
        <v>0</v>
      </c>
      <c r="L67" s="1">
        <f>J67*'Entradas'!B12</f>
        <v>0</v>
      </c>
      <c r="M67" s="1">
        <f>K67*'Entradas'!B11</f>
        <v>0</v>
      </c>
      <c r="N67" s="1">
        <f>IF(E67&gt;'Resumen'!$B$14,'Tramos_red'!P9,0)</f>
        <v>0</v>
      </c>
      <c r="O67" s="1">
        <f>IF(E67&gt;'Resumen'!$B$14,'Tramos_red'!Q9,0)</f>
        <v>0</v>
      </c>
      <c r="P67" s="1">
        <f>IF(E67&gt;'Resumen'!$B$14,'Tramos_red'!R9,0)</f>
        <v>0</v>
      </c>
      <c r="Q67" s="1">
        <f>IF(E67&lt;='Resumen'!$B$14,0,IF('Entradas'!$B$5=0,"sin U",IF(P67=0,"infinita",E67/('Entradas'!$B$5*P67))))</f>
        <v>0</v>
      </c>
    </row>
    <row r="68" spans="1:17" ht="21" customHeight="1">
      <c r="A68" s="4" t="s">
        <v>167</v>
      </c>
      <c r="B68" s="1">
        <v>6</v>
      </c>
      <c r="C68" s="4" t="str">
        <f>'Entradas'!A12</f>
        <v>H2</v>
      </c>
      <c r="D68" s="4" t="str">
        <f>'Entradas'!A13</f>
        <v>C3</v>
      </c>
      <c r="E68" s="1">
        <f>'Tramos_red'!M9*'Tramos_red'!U9*'Tramos_red'!Z9</f>
        <v>16000.0</v>
      </c>
      <c r="F68" s="1">
        <f>IF(E68&gt;'Resumen'!$B$14,'Tramos_red'!J9,"")</f>
        <v>134.0</v>
      </c>
      <c r="G68" s="1">
        <f>IF(E68&gt;'Resumen'!$B$14,'Tramos_red'!I9,"")</f>
        <v>130.0</v>
      </c>
      <c r="H68" s="1">
        <f>IF(E68&gt;'Resumen'!$B$14,'Tramos_red'!K9,"")</f>
        <v>113.33333333333333</v>
      </c>
      <c r="I68" s="1">
        <f>IF(E68&gt;'Resumen'!$B$14,'Tramos_red'!L9,"")</f>
        <v>120.0</v>
      </c>
      <c r="J68" s="6">
        <f>IF(E68&gt;'Resumen'!$B$14,'Tramos_red'!Z9,0)</f>
        <v>1.0</v>
      </c>
      <c r="K68" s="6">
        <f>IF(E68&gt;'Resumen'!$B$14,'Tramos_red'!U9,0)</f>
        <v>0.8</v>
      </c>
      <c r="L68" s="1">
        <f>J68*'Entradas'!B12</f>
        <v>4000.0</v>
      </c>
      <c r="M68" s="1">
        <f>K68*'Entradas'!B13</f>
        <v>2400.0</v>
      </c>
      <c r="N68" s="1">
        <f>IF(E68&gt;'Resumen'!$B$14,'Tramos_red'!P9,0)</f>
        <v>14.0</v>
      </c>
      <c r="O68" s="1">
        <f>IF(E68&gt;'Resumen'!$B$14,'Tramos_red'!Q9,0)</f>
        <v>16.66666666666667</v>
      </c>
      <c r="P68" s="1">
        <f>IF(E68&gt;'Resumen'!$B$14,'Tramos_red'!R9,0)</f>
        <v>15.294607752313684</v>
      </c>
      <c r="Q68" s="1" t="str">
        <f>IF(E68&lt;='Resumen'!$B$14,0,IF('Entradas'!$B$5=0,"sin U",IF(P68=0,"infinita",E68/('Entradas'!$B$5*P68))))</f>
        <v>sin U</v>
      </c>
    </row>
    <row r="69" spans="1:17" ht="21" customHeight="1">
      <c r="A69" s="4" t="s">
        <v>168</v>
      </c>
      <c r="B69" s="1">
        <v>6</v>
      </c>
      <c r="C69" s="4" t="str">
        <f>'Entradas'!A12</f>
        <v>H2</v>
      </c>
      <c r="D69" s="4" t="str">
        <f>'Entradas'!A14</f>
        <v>C4</v>
      </c>
      <c r="E69" s="1">
        <f>'Tramos_red'!M9*'Tramos_red'!U9*'Tramos_red'!AA9</f>
        <v>0.0</v>
      </c>
      <c r="F69" s="1">
        <f>IF(E69&gt;'Resumen'!$B$14,'Tramos_red'!J9,"")</f>
        <v/>
      </c>
      <c r="G69" s="1">
        <f>IF(E69&gt;'Resumen'!$B$14,'Tramos_red'!I9,"")</f>
        <v/>
      </c>
      <c r="H69" s="1">
        <f>IF(E69&gt;'Resumen'!$B$14,'Tramos_red'!K9,"")</f>
        <v/>
      </c>
      <c r="I69" s="1">
        <f>IF(E69&gt;'Resumen'!$B$14,'Tramos_red'!L9,"")</f>
        <v/>
      </c>
      <c r="J69" s="6">
        <f>IF(E69&gt;'Resumen'!$B$14,'Tramos_red'!AA9,0)</f>
        <v>0</v>
      </c>
      <c r="K69" s="6">
        <f>IF(E69&gt;'Resumen'!$B$14,'Tramos_red'!U9,0)</f>
        <v>0</v>
      </c>
      <c r="L69" s="1">
        <f>J69*'Entradas'!B12</f>
        <v>0</v>
      </c>
      <c r="M69" s="1">
        <f>K69*'Entradas'!B14</f>
        <v>0</v>
      </c>
      <c r="N69" s="1">
        <f>IF(E69&gt;'Resumen'!$B$14,'Tramos_red'!P9,0)</f>
        <v>0</v>
      </c>
      <c r="O69" s="1">
        <f>IF(E69&gt;'Resumen'!$B$14,'Tramos_red'!Q9,0)</f>
        <v>0</v>
      </c>
      <c r="P69" s="1">
        <f>IF(E69&gt;'Resumen'!$B$14,'Tramos_red'!R9,0)</f>
        <v>0</v>
      </c>
      <c r="Q69" s="1">
        <f>IF(E69&lt;='Resumen'!$B$14,0,IF('Entradas'!$B$5=0,"sin U",IF(P69=0,"infinita",E69/('Entradas'!$B$5*P69))))</f>
        <v>0</v>
      </c>
    </row>
    <row r="70" spans="1:17" ht="21" customHeight="1">
      <c r="A70" s="4" t="s">
        <v>169</v>
      </c>
      <c r="B70" s="1">
        <v>6</v>
      </c>
      <c r="C70" s="4" t="str">
        <f>'Entradas'!A13</f>
        <v>C3</v>
      </c>
      <c r="D70" s="4" t="str">
        <f>'Entradas'!A11</f>
        <v>H1</v>
      </c>
      <c r="E70" s="1">
        <f>'Tramos_red'!M9*'Tramos_red'!V9*'Tramos_red'!X9</f>
        <v>0.0</v>
      </c>
      <c r="F70" s="1">
        <f>IF(E70&gt;'Resumen'!$B$14,'Tramos_red'!J9,"")</f>
        <v/>
      </c>
      <c r="G70" s="1">
        <f>IF(E70&gt;'Resumen'!$B$14,'Tramos_red'!I9,"")</f>
        <v/>
      </c>
      <c r="H70" s="1">
        <f>IF(E70&gt;'Resumen'!$B$14,'Tramos_red'!K9,"")</f>
        <v/>
      </c>
      <c r="I70" s="1">
        <f>IF(E70&gt;'Resumen'!$B$14,'Tramos_red'!L9,"")</f>
        <v/>
      </c>
      <c r="J70" s="6">
        <f>IF(E70&gt;'Resumen'!$B$14,'Tramos_red'!X9,0)</f>
        <v>0</v>
      </c>
      <c r="K70" s="6">
        <f>IF(E70&gt;'Resumen'!$B$14,'Tramos_red'!V9,0)</f>
        <v>0</v>
      </c>
      <c r="L70" s="1">
        <f>J70*'Entradas'!B13</f>
        <v>0</v>
      </c>
      <c r="M70" s="1">
        <f>K70*'Entradas'!B11</f>
        <v>0</v>
      </c>
      <c r="N70" s="1">
        <f>IF(E70&gt;'Resumen'!$B$14,'Tramos_red'!P9,0)</f>
        <v>0</v>
      </c>
      <c r="O70" s="1">
        <f>IF(E70&gt;'Resumen'!$B$14,'Tramos_red'!Q9,0)</f>
        <v>0</v>
      </c>
      <c r="P70" s="1">
        <f>IF(E70&gt;'Resumen'!$B$14,'Tramos_red'!R9,0)</f>
        <v>0</v>
      </c>
      <c r="Q70" s="1">
        <f>IF(E70&lt;='Resumen'!$B$14,0,IF('Entradas'!$B$5=0,"sin U",IF(P70=0,"infinita",E70/('Entradas'!$B$5*P70))))</f>
        <v>0</v>
      </c>
    </row>
    <row r="71" spans="1:17" ht="21" customHeight="1">
      <c r="A71" s="4" t="s">
        <v>170</v>
      </c>
      <c r="B71" s="1">
        <v>6</v>
      </c>
      <c r="C71" s="4" t="str">
        <f>'Entradas'!A13</f>
        <v>C3</v>
      </c>
      <c r="D71" s="4" t="str">
        <f>'Entradas'!A12</f>
        <v>H2</v>
      </c>
      <c r="E71" s="1">
        <f>'Tramos_red'!M9*'Tramos_red'!V9*'Tramos_red'!Y9</f>
        <v>0.0</v>
      </c>
      <c r="F71" s="1">
        <f>IF(E71&gt;'Resumen'!$B$14,'Tramos_red'!J9,"")</f>
        <v/>
      </c>
      <c r="G71" s="1">
        <f>IF(E71&gt;'Resumen'!$B$14,'Tramos_red'!I9,"")</f>
        <v/>
      </c>
      <c r="H71" s="1">
        <f>IF(E71&gt;'Resumen'!$B$14,'Tramos_red'!K9,"")</f>
        <v/>
      </c>
      <c r="I71" s="1">
        <f>IF(E71&gt;'Resumen'!$B$14,'Tramos_red'!L9,"")</f>
        <v/>
      </c>
      <c r="J71" s="6">
        <f>IF(E71&gt;'Resumen'!$B$14,'Tramos_red'!Y9,0)</f>
        <v>0</v>
      </c>
      <c r="K71" s="6">
        <f>IF(E71&gt;'Resumen'!$B$14,'Tramos_red'!V9,0)</f>
        <v>0</v>
      </c>
      <c r="L71" s="1">
        <f>J71*'Entradas'!B13</f>
        <v>0</v>
      </c>
      <c r="M71" s="1">
        <f>K71*'Entradas'!B12</f>
        <v>0</v>
      </c>
      <c r="N71" s="1">
        <f>IF(E71&gt;'Resumen'!$B$14,'Tramos_red'!P9,0)</f>
        <v>0</v>
      </c>
      <c r="O71" s="1">
        <f>IF(E71&gt;'Resumen'!$B$14,'Tramos_red'!Q9,0)</f>
        <v>0</v>
      </c>
      <c r="P71" s="1">
        <f>IF(E71&gt;'Resumen'!$B$14,'Tramos_red'!R9,0)</f>
        <v>0</v>
      </c>
      <c r="Q71" s="1">
        <f>IF(E71&lt;='Resumen'!$B$14,0,IF('Entradas'!$B$5=0,"sin U",IF(P71=0,"infinita",E71/('Entradas'!$B$5*P71))))</f>
        <v>0</v>
      </c>
    </row>
    <row r="72" spans="1:17" ht="21" customHeight="1">
      <c r="A72" s="4" t="s">
        <v>171</v>
      </c>
      <c r="B72" s="1">
        <v>6</v>
      </c>
      <c r="C72" s="4" t="str">
        <f>'Entradas'!A13</f>
        <v>C3</v>
      </c>
      <c r="D72" s="4" t="str">
        <f>'Entradas'!A14</f>
        <v>C4</v>
      </c>
      <c r="E72" s="1">
        <f>'Tramos_red'!M9*'Tramos_red'!V9*'Tramos_red'!AA9</f>
        <v>0.0</v>
      </c>
      <c r="F72" s="1">
        <f>IF(E72&gt;'Resumen'!$B$14,'Tramos_red'!J9,"")</f>
        <v/>
      </c>
      <c r="G72" s="1">
        <f>IF(E72&gt;'Resumen'!$B$14,'Tramos_red'!I9,"")</f>
        <v/>
      </c>
      <c r="H72" s="1">
        <f>IF(E72&gt;'Resumen'!$B$14,'Tramos_red'!K9,"")</f>
        <v/>
      </c>
      <c r="I72" s="1">
        <f>IF(E72&gt;'Resumen'!$B$14,'Tramos_red'!L9,"")</f>
        <v/>
      </c>
      <c r="J72" s="6">
        <f>IF(E72&gt;'Resumen'!$B$14,'Tramos_red'!AA9,0)</f>
        <v>0</v>
      </c>
      <c r="K72" s="6">
        <f>IF(E72&gt;'Resumen'!$B$14,'Tramos_red'!V9,0)</f>
        <v>0</v>
      </c>
      <c r="L72" s="1">
        <f>J72*'Entradas'!B13</f>
        <v>0</v>
      </c>
      <c r="M72" s="1">
        <f>K72*'Entradas'!B14</f>
        <v>0</v>
      </c>
      <c r="N72" s="1">
        <f>IF(E72&gt;'Resumen'!$B$14,'Tramos_red'!P9,0)</f>
        <v>0</v>
      </c>
      <c r="O72" s="1">
        <f>IF(E72&gt;'Resumen'!$B$14,'Tramos_red'!Q9,0)</f>
        <v>0</v>
      </c>
      <c r="P72" s="1">
        <f>IF(E72&gt;'Resumen'!$B$14,'Tramos_red'!R9,0)</f>
        <v>0</v>
      </c>
      <c r="Q72" s="1">
        <f>IF(E72&lt;='Resumen'!$B$14,0,IF('Entradas'!$B$5=0,"sin U",IF(P72=0,"infinita",E72/('Entradas'!$B$5*P72))))</f>
        <v>0</v>
      </c>
    </row>
    <row r="73" spans="1:17" ht="21" customHeight="1">
      <c r="A73" s="4" t="s">
        <v>172</v>
      </c>
      <c r="B73" s="1">
        <v>6</v>
      </c>
      <c r="C73" s="4" t="str">
        <f>'Entradas'!A14</f>
        <v>C4</v>
      </c>
      <c r="D73" s="4" t="str">
        <f>'Entradas'!A11</f>
        <v>H1</v>
      </c>
      <c r="E73" s="1">
        <f>'Tramos_red'!M9*'Tramos_red'!W9*'Tramos_red'!X9</f>
        <v>0.0</v>
      </c>
      <c r="F73" s="1">
        <f>IF(E73&gt;'Resumen'!$B$14,'Tramos_red'!J9,"")</f>
        <v/>
      </c>
      <c r="G73" s="1">
        <f>IF(E73&gt;'Resumen'!$B$14,'Tramos_red'!I9,"")</f>
        <v/>
      </c>
      <c r="H73" s="1">
        <f>IF(E73&gt;'Resumen'!$B$14,'Tramos_red'!K9,"")</f>
        <v/>
      </c>
      <c r="I73" s="1">
        <f>IF(E73&gt;'Resumen'!$B$14,'Tramos_red'!L9,"")</f>
        <v/>
      </c>
      <c r="J73" s="6">
        <f>IF(E73&gt;'Resumen'!$B$14,'Tramos_red'!X9,0)</f>
        <v>0</v>
      </c>
      <c r="K73" s="6">
        <f>IF(E73&gt;'Resumen'!$B$14,'Tramos_red'!W9,0)</f>
        <v>0</v>
      </c>
      <c r="L73" s="1">
        <f>J73*'Entradas'!B14</f>
        <v>0</v>
      </c>
      <c r="M73" s="1">
        <f>K73*'Entradas'!B11</f>
        <v>0</v>
      </c>
      <c r="N73" s="1">
        <f>IF(E73&gt;'Resumen'!$B$14,'Tramos_red'!P9,0)</f>
        <v>0</v>
      </c>
      <c r="O73" s="1">
        <f>IF(E73&gt;'Resumen'!$B$14,'Tramos_red'!Q9,0)</f>
        <v>0</v>
      </c>
      <c r="P73" s="1">
        <f>IF(E73&gt;'Resumen'!$B$14,'Tramos_red'!R9,0)</f>
        <v>0</v>
      </c>
      <c r="Q73" s="1">
        <f>IF(E73&lt;='Resumen'!$B$14,0,IF('Entradas'!$B$5=0,"sin U",IF(P73=0,"infinita",E73/('Entradas'!$B$5*P73))))</f>
        <v>0</v>
      </c>
    </row>
    <row r="74" spans="1:17" ht="21" customHeight="1">
      <c r="A74" s="4" t="s">
        <v>173</v>
      </c>
      <c r="B74" s="1">
        <v>6</v>
      </c>
      <c r="C74" s="4" t="str">
        <f>'Entradas'!A14</f>
        <v>C4</v>
      </c>
      <c r="D74" s="4" t="str">
        <f>'Entradas'!A12</f>
        <v>H2</v>
      </c>
      <c r="E74" s="1">
        <f>'Tramos_red'!M9*'Tramos_red'!W9*'Tramos_red'!Y9</f>
        <v>0.0</v>
      </c>
      <c r="F74" s="1">
        <f>IF(E74&gt;'Resumen'!$B$14,'Tramos_red'!J9,"")</f>
        <v/>
      </c>
      <c r="G74" s="1">
        <f>IF(E74&gt;'Resumen'!$B$14,'Tramos_red'!I9,"")</f>
        <v/>
      </c>
      <c r="H74" s="1">
        <f>IF(E74&gt;'Resumen'!$B$14,'Tramos_red'!K9,"")</f>
        <v/>
      </c>
      <c r="I74" s="1">
        <f>IF(E74&gt;'Resumen'!$B$14,'Tramos_red'!L9,"")</f>
        <v/>
      </c>
      <c r="J74" s="6">
        <f>IF(E74&gt;'Resumen'!$B$14,'Tramos_red'!Y9,0)</f>
        <v>0</v>
      </c>
      <c r="K74" s="6">
        <f>IF(E74&gt;'Resumen'!$B$14,'Tramos_red'!W9,0)</f>
        <v>0</v>
      </c>
      <c r="L74" s="1">
        <f>J74*'Entradas'!B14</f>
        <v>0</v>
      </c>
      <c r="M74" s="1">
        <f>K74*'Entradas'!B12</f>
        <v>0</v>
      </c>
      <c r="N74" s="1">
        <f>IF(E74&gt;'Resumen'!$B$14,'Tramos_red'!P9,0)</f>
        <v>0</v>
      </c>
      <c r="O74" s="1">
        <f>IF(E74&gt;'Resumen'!$B$14,'Tramos_red'!Q9,0)</f>
        <v>0</v>
      </c>
      <c r="P74" s="1">
        <f>IF(E74&gt;'Resumen'!$B$14,'Tramos_red'!R9,0)</f>
        <v>0</v>
      </c>
      <c r="Q74" s="1">
        <f>IF(E74&lt;='Resumen'!$B$14,0,IF('Entradas'!$B$5=0,"sin U",IF(P74=0,"infinita",E74/('Entradas'!$B$5*P74))))</f>
        <v>0</v>
      </c>
    </row>
    <row r="75" spans="1:17" ht="21" customHeight="1">
      <c r="A75" s="4" t="s">
        <v>174</v>
      </c>
      <c r="B75" s="1">
        <v>6</v>
      </c>
      <c r="C75" s="4" t="str">
        <f>'Entradas'!A14</f>
        <v>C4</v>
      </c>
      <c r="D75" s="4" t="str">
        <f>'Entradas'!A13</f>
        <v>C3</v>
      </c>
      <c r="E75" s="1">
        <f>'Tramos_red'!M9*'Tramos_red'!W9*'Tramos_red'!Z9</f>
        <v>0.0</v>
      </c>
      <c r="F75" s="1">
        <f>IF(E75&gt;'Resumen'!$B$14,'Tramos_red'!J9,"")</f>
        <v/>
      </c>
      <c r="G75" s="1">
        <f>IF(E75&gt;'Resumen'!$B$14,'Tramos_red'!I9,"")</f>
        <v/>
      </c>
      <c r="H75" s="1">
        <f>IF(E75&gt;'Resumen'!$B$14,'Tramos_red'!K9,"")</f>
        <v/>
      </c>
      <c r="I75" s="1">
        <f>IF(E75&gt;'Resumen'!$B$14,'Tramos_red'!L9,"")</f>
        <v/>
      </c>
      <c r="J75" s="6">
        <f>IF(E75&gt;'Resumen'!$B$14,'Tramos_red'!Z9,0)</f>
        <v>0</v>
      </c>
      <c r="K75" s="6">
        <f>IF(E75&gt;'Resumen'!$B$14,'Tramos_red'!W9,0)</f>
        <v>0</v>
      </c>
      <c r="L75" s="1">
        <f>J75*'Entradas'!B14</f>
        <v>0</v>
      </c>
      <c r="M75" s="1">
        <f>K75*'Entradas'!B13</f>
        <v>0</v>
      </c>
      <c r="N75" s="1">
        <f>IF(E75&gt;'Resumen'!$B$14,'Tramos_red'!P9,0)</f>
        <v>0</v>
      </c>
      <c r="O75" s="1">
        <f>IF(E75&gt;'Resumen'!$B$14,'Tramos_red'!Q9,0)</f>
        <v>0</v>
      </c>
      <c r="P75" s="1">
        <f>IF(E75&gt;'Resumen'!$B$14,'Tramos_red'!R9,0)</f>
        <v>0</v>
      </c>
      <c r="Q75" s="1">
        <f>IF(E75&lt;='Resumen'!$B$14,0,IF('Entradas'!$B$5=0,"sin U",IF(P75=0,"infinita",E75/('Entradas'!$B$5*P75))))</f>
        <v>0</v>
      </c>
    </row>
    <row r="76" spans="1:17" ht="21" customHeight="1">
      <c r="A76" s="4" t="s">
        <v>175</v>
      </c>
      <c r="B76" s="1">
        <v>7</v>
      </c>
      <c r="C76" s="4" t="str">
        <f>'Entradas'!A11</f>
        <v>H1</v>
      </c>
      <c r="D76" s="4" t="str">
        <f>'Entradas'!A12</f>
        <v>H2</v>
      </c>
      <c r="E76" s="1">
        <f>'Tramos_red'!M10*'Tramos_red'!T10*'Tramos_red'!Y10</f>
        <v>0.0</v>
      </c>
      <c r="F76" s="1">
        <f>IF(E76&gt;'Resumen'!$B$14,'Tramos_red'!J10,"")</f>
        <v/>
      </c>
      <c r="G76" s="1">
        <f>IF(E76&gt;'Resumen'!$B$14,'Tramos_red'!I10,"")</f>
        <v/>
      </c>
      <c r="H76" s="1">
        <f>IF(E76&gt;'Resumen'!$B$14,'Tramos_red'!K10,"")</f>
        <v/>
      </c>
      <c r="I76" s="1">
        <f>IF(E76&gt;'Resumen'!$B$14,'Tramos_red'!L10,"")</f>
        <v/>
      </c>
      <c r="J76" s="6">
        <f>IF(E76&gt;'Resumen'!$B$14,'Tramos_red'!Y10,0)</f>
        <v>0</v>
      </c>
      <c r="K76" s="6">
        <f>IF(E76&gt;'Resumen'!$B$14,'Tramos_red'!T10,0)</f>
        <v>0</v>
      </c>
      <c r="L76" s="1">
        <f>J76*'Entradas'!B11</f>
        <v>0</v>
      </c>
      <c r="M76" s="1">
        <f>K76*'Entradas'!B12</f>
        <v>0</v>
      </c>
      <c r="N76" s="1">
        <f>IF(E76&gt;'Resumen'!$B$14,'Tramos_red'!P10,0)</f>
        <v>0</v>
      </c>
      <c r="O76" s="1">
        <f>IF(E76&gt;'Resumen'!$B$14,'Tramos_red'!Q10,0)</f>
        <v>0</v>
      </c>
      <c r="P76" s="1">
        <f>IF(E76&gt;'Resumen'!$B$14,'Tramos_red'!R10,0)</f>
        <v>0</v>
      </c>
      <c r="Q76" s="1">
        <f>IF(E76&lt;='Resumen'!$B$14,0,IF('Entradas'!$B$5=0,"sin U",IF(P76=0,"infinita",E76/('Entradas'!$B$5*P76))))</f>
        <v>0</v>
      </c>
    </row>
    <row r="77" spans="1:17" ht="21" customHeight="1">
      <c r="A77" s="4" t="s">
        <v>176</v>
      </c>
      <c r="B77" s="1">
        <v>7</v>
      </c>
      <c r="C77" s="4" t="str">
        <f>'Entradas'!A11</f>
        <v>H1</v>
      </c>
      <c r="D77" s="4" t="str">
        <f>'Entradas'!A13</f>
        <v>C3</v>
      </c>
      <c r="E77" s="1">
        <f>'Tramos_red'!M10*'Tramos_red'!T10*'Tramos_red'!Z10</f>
        <v>6000.0</v>
      </c>
      <c r="F77" s="1">
        <f>IF(E77&gt;'Resumen'!$B$14,'Tramos_red'!J10,"")</f>
        <v>140.0</v>
      </c>
      <c r="G77" s="1">
        <f>IF(E77&gt;'Resumen'!$B$14,'Tramos_red'!I10,"")</f>
        <v>134.0</v>
      </c>
      <c r="H77" s="1">
        <f>IF(E77&gt;'Resumen'!$B$14,'Tramos_red'!K10,"")</f>
        <v>120.0</v>
      </c>
      <c r="I77" s="1">
        <f>IF(E77&gt;'Resumen'!$B$14,'Tramos_red'!L10,"")</f>
        <v>130.0</v>
      </c>
      <c r="J77" s="6">
        <f>IF(E77&gt;'Resumen'!$B$14,'Tramos_red'!Z10,0)</f>
        <v>1.0</v>
      </c>
      <c r="K77" s="6">
        <f>IF(E77&gt;'Resumen'!$B$14,'Tramos_red'!T10,0)</f>
        <v>0.2</v>
      </c>
      <c r="L77" s="1">
        <f>J77*'Entradas'!B11</f>
        <v>1000.0</v>
      </c>
      <c r="M77" s="1">
        <f>K77*'Entradas'!B13</f>
        <v>600.0</v>
      </c>
      <c r="N77" s="1">
        <f>IF(E77&gt;'Resumen'!$B$14,'Tramos_red'!P10,0)</f>
        <v>10.0</v>
      </c>
      <c r="O77" s="1">
        <f>IF(E77&gt;'Resumen'!$B$14,'Tramos_red'!Q10,0)</f>
        <v>14.0</v>
      </c>
      <c r="P77" s="1">
        <f>IF(E77&gt;'Resumen'!$B$14,'Tramos_red'!R10,0)</f>
        <v>11.888053647953846</v>
      </c>
      <c r="Q77" s="1" t="str">
        <f>IF(E77&lt;='Resumen'!$B$14,0,IF('Entradas'!$B$5=0,"sin U",IF(P77=0,"infinita",E77/('Entradas'!$B$5*P77))))</f>
        <v>sin U</v>
      </c>
    </row>
    <row r="78" spans="1:17" ht="21" customHeight="1">
      <c r="A78" s="4" t="s">
        <v>177</v>
      </c>
      <c r="B78" s="1">
        <v>7</v>
      </c>
      <c r="C78" s="4" t="str">
        <f>'Entradas'!A11</f>
        <v>H1</v>
      </c>
      <c r="D78" s="4" t="str">
        <f>'Entradas'!A14</f>
        <v>C4</v>
      </c>
      <c r="E78" s="1">
        <f>'Tramos_red'!M10*'Tramos_red'!T10*'Tramos_red'!AA10</f>
        <v>0.0</v>
      </c>
      <c r="F78" s="1">
        <f>IF(E78&gt;'Resumen'!$B$14,'Tramos_red'!J10,"")</f>
        <v/>
      </c>
      <c r="G78" s="1">
        <f>IF(E78&gt;'Resumen'!$B$14,'Tramos_red'!I10,"")</f>
        <v/>
      </c>
      <c r="H78" s="1">
        <f>IF(E78&gt;'Resumen'!$B$14,'Tramos_red'!K10,"")</f>
        <v/>
      </c>
      <c r="I78" s="1">
        <f>IF(E78&gt;'Resumen'!$B$14,'Tramos_red'!L10,"")</f>
        <v/>
      </c>
      <c r="J78" s="6">
        <f>IF(E78&gt;'Resumen'!$B$14,'Tramos_red'!AA10,0)</f>
        <v>0</v>
      </c>
      <c r="K78" s="6">
        <f>IF(E78&gt;'Resumen'!$B$14,'Tramos_red'!T10,0)</f>
        <v>0</v>
      </c>
      <c r="L78" s="1">
        <f>J78*'Entradas'!B11</f>
        <v>0</v>
      </c>
      <c r="M78" s="1">
        <f>K78*'Entradas'!B14</f>
        <v>0</v>
      </c>
      <c r="N78" s="1">
        <f>IF(E78&gt;'Resumen'!$B$14,'Tramos_red'!P10,0)</f>
        <v>0</v>
      </c>
      <c r="O78" s="1">
        <f>IF(E78&gt;'Resumen'!$B$14,'Tramos_red'!Q10,0)</f>
        <v>0</v>
      </c>
      <c r="P78" s="1">
        <f>IF(E78&gt;'Resumen'!$B$14,'Tramos_red'!R10,0)</f>
        <v>0</v>
      </c>
      <c r="Q78" s="1">
        <f>IF(E78&lt;='Resumen'!$B$14,0,IF('Entradas'!$B$5=0,"sin U",IF(P78=0,"infinita",E78/('Entradas'!$B$5*P78))))</f>
        <v>0</v>
      </c>
    </row>
    <row r="79" spans="1:17" ht="21" customHeight="1">
      <c r="A79" s="4" t="s">
        <v>178</v>
      </c>
      <c r="B79" s="1">
        <v>7</v>
      </c>
      <c r="C79" s="4" t="str">
        <f>'Entradas'!A12</f>
        <v>H2</v>
      </c>
      <c r="D79" s="4" t="str">
        <f>'Entradas'!A11</f>
        <v>H1</v>
      </c>
      <c r="E79" s="1">
        <f>'Tramos_red'!M10*'Tramos_red'!U10*'Tramos_red'!X10</f>
        <v>0.0</v>
      </c>
      <c r="F79" s="1">
        <f>IF(E79&gt;'Resumen'!$B$14,'Tramos_red'!J10,"")</f>
        <v/>
      </c>
      <c r="G79" s="1">
        <f>IF(E79&gt;'Resumen'!$B$14,'Tramos_red'!I10,"")</f>
        <v/>
      </c>
      <c r="H79" s="1">
        <f>IF(E79&gt;'Resumen'!$B$14,'Tramos_red'!K10,"")</f>
        <v/>
      </c>
      <c r="I79" s="1">
        <f>IF(E79&gt;'Resumen'!$B$14,'Tramos_red'!L10,"")</f>
        <v/>
      </c>
      <c r="J79" s="6">
        <f>IF(E79&gt;'Resumen'!$B$14,'Tramos_red'!X10,0)</f>
        <v>0</v>
      </c>
      <c r="K79" s="6">
        <f>IF(E79&gt;'Resumen'!$B$14,'Tramos_red'!U10,0)</f>
        <v>0</v>
      </c>
      <c r="L79" s="1">
        <f>J79*'Entradas'!B12</f>
        <v>0</v>
      </c>
      <c r="M79" s="1">
        <f>K79*'Entradas'!B11</f>
        <v>0</v>
      </c>
      <c r="N79" s="1">
        <f>IF(E79&gt;'Resumen'!$B$14,'Tramos_red'!P10,0)</f>
        <v>0</v>
      </c>
      <c r="O79" s="1">
        <f>IF(E79&gt;'Resumen'!$B$14,'Tramos_red'!Q10,0)</f>
        <v>0</v>
      </c>
      <c r="P79" s="1">
        <f>IF(E79&gt;'Resumen'!$B$14,'Tramos_red'!R10,0)</f>
        <v>0</v>
      </c>
      <c r="Q79" s="1">
        <f>IF(E79&lt;='Resumen'!$B$14,0,IF('Entradas'!$B$5=0,"sin U",IF(P79=0,"infinita",E79/('Entradas'!$B$5*P79))))</f>
        <v>0</v>
      </c>
    </row>
    <row r="80" spans="1:17" ht="21" customHeight="1">
      <c r="A80" s="4" t="s">
        <v>179</v>
      </c>
      <c r="B80" s="1">
        <v>7</v>
      </c>
      <c r="C80" s="4" t="str">
        <f>'Entradas'!A12</f>
        <v>H2</v>
      </c>
      <c r="D80" s="4" t="str">
        <f>'Entradas'!A13</f>
        <v>C3</v>
      </c>
      <c r="E80" s="1">
        <f>'Tramos_red'!M10*'Tramos_red'!U10*'Tramos_red'!Z10</f>
        <v>24000.0</v>
      </c>
      <c r="F80" s="1">
        <f>IF(E80&gt;'Resumen'!$B$14,'Tramos_red'!J10,"")</f>
        <v>140.0</v>
      </c>
      <c r="G80" s="1">
        <f>IF(E80&gt;'Resumen'!$B$14,'Tramos_red'!I10,"")</f>
        <v>134.0</v>
      </c>
      <c r="H80" s="1">
        <f>IF(E80&gt;'Resumen'!$B$14,'Tramos_red'!K10,"")</f>
        <v>120.0</v>
      </c>
      <c r="I80" s="1">
        <f>IF(E80&gt;'Resumen'!$B$14,'Tramos_red'!L10,"")</f>
        <v>130.0</v>
      </c>
      <c r="J80" s="6">
        <f>IF(E80&gt;'Resumen'!$B$14,'Tramos_red'!Z10,0)</f>
        <v>1.0</v>
      </c>
      <c r="K80" s="6">
        <f>IF(E80&gt;'Resumen'!$B$14,'Tramos_red'!U10,0)</f>
        <v>0.8</v>
      </c>
      <c r="L80" s="1">
        <f>J80*'Entradas'!B12</f>
        <v>4000.0</v>
      </c>
      <c r="M80" s="1">
        <f>K80*'Entradas'!B13</f>
        <v>2400.0</v>
      </c>
      <c r="N80" s="1">
        <f>IF(E80&gt;'Resumen'!$B$14,'Tramos_red'!P10,0)</f>
        <v>10.0</v>
      </c>
      <c r="O80" s="1">
        <f>IF(E80&gt;'Resumen'!$B$14,'Tramos_red'!Q10,0)</f>
        <v>14.0</v>
      </c>
      <c r="P80" s="1">
        <f>IF(E80&gt;'Resumen'!$B$14,'Tramos_red'!R10,0)</f>
        <v>11.888053647953846</v>
      </c>
      <c r="Q80" s="1" t="str">
        <f>IF(E80&lt;='Resumen'!$B$14,0,IF('Entradas'!$B$5=0,"sin U",IF(P80=0,"infinita",E80/('Entradas'!$B$5*P80))))</f>
        <v>sin U</v>
      </c>
    </row>
    <row r="81" spans="1:17" ht="21" customHeight="1">
      <c r="A81" s="4" t="s">
        <v>180</v>
      </c>
      <c r="B81" s="1">
        <v>7</v>
      </c>
      <c r="C81" s="4" t="str">
        <f>'Entradas'!A12</f>
        <v>H2</v>
      </c>
      <c r="D81" s="4" t="str">
        <f>'Entradas'!A14</f>
        <v>C4</v>
      </c>
      <c r="E81" s="1">
        <f>'Tramos_red'!M10*'Tramos_red'!U10*'Tramos_red'!AA10</f>
        <v>0.0</v>
      </c>
      <c r="F81" s="1">
        <f>IF(E81&gt;'Resumen'!$B$14,'Tramos_red'!J10,"")</f>
        <v/>
      </c>
      <c r="G81" s="1">
        <f>IF(E81&gt;'Resumen'!$B$14,'Tramos_red'!I10,"")</f>
        <v/>
      </c>
      <c r="H81" s="1">
        <f>IF(E81&gt;'Resumen'!$B$14,'Tramos_red'!K10,"")</f>
        <v/>
      </c>
      <c r="I81" s="1">
        <f>IF(E81&gt;'Resumen'!$B$14,'Tramos_red'!L10,"")</f>
        <v/>
      </c>
      <c r="J81" s="6">
        <f>IF(E81&gt;'Resumen'!$B$14,'Tramos_red'!AA10,0)</f>
        <v>0</v>
      </c>
      <c r="K81" s="6">
        <f>IF(E81&gt;'Resumen'!$B$14,'Tramos_red'!U10,0)</f>
        <v>0</v>
      </c>
      <c r="L81" s="1">
        <f>J81*'Entradas'!B12</f>
        <v>0</v>
      </c>
      <c r="M81" s="1">
        <f>K81*'Entradas'!B14</f>
        <v>0</v>
      </c>
      <c r="N81" s="1">
        <f>IF(E81&gt;'Resumen'!$B$14,'Tramos_red'!P10,0)</f>
        <v>0</v>
      </c>
      <c r="O81" s="1">
        <f>IF(E81&gt;'Resumen'!$B$14,'Tramos_red'!Q10,0)</f>
        <v>0</v>
      </c>
      <c r="P81" s="1">
        <f>IF(E81&gt;'Resumen'!$B$14,'Tramos_red'!R10,0)</f>
        <v>0</v>
      </c>
      <c r="Q81" s="1">
        <f>IF(E81&lt;='Resumen'!$B$14,0,IF('Entradas'!$B$5=0,"sin U",IF(P81=0,"infinita",E81/('Entradas'!$B$5*P81))))</f>
        <v>0</v>
      </c>
    </row>
    <row r="82" spans="1:17" ht="21" customHeight="1">
      <c r="A82" s="4" t="s">
        <v>181</v>
      </c>
      <c r="B82" s="1">
        <v>7</v>
      </c>
      <c r="C82" s="4" t="str">
        <f>'Entradas'!A13</f>
        <v>C3</v>
      </c>
      <c r="D82" s="4" t="str">
        <f>'Entradas'!A11</f>
        <v>H1</v>
      </c>
      <c r="E82" s="1">
        <f>'Tramos_red'!M10*'Tramos_red'!V10*'Tramos_red'!X10</f>
        <v>0.0</v>
      </c>
      <c r="F82" s="1">
        <f>IF(E82&gt;'Resumen'!$B$14,'Tramos_red'!J10,"")</f>
        <v/>
      </c>
      <c r="G82" s="1">
        <f>IF(E82&gt;'Resumen'!$B$14,'Tramos_red'!I10,"")</f>
        <v/>
      </c>
      <c r="H82" s="1">
        <f>IF(E82&gt;'Resumen'!$B$14,'Tramos_red'!K10,"")</f>
        <v/>
      </c>
      <c r="I82" s="1">
        <f>IF(E82&gt;'Resumen'!$B$14,'Tramos_red'!L10,"")</f>
        <v/>
      </c>
      <c r="J82" s="6">
        <f>IF(E82&gt;'Resumen'!$B$14,'Tramos_red'!X10,0)</f>
        <v>0</v>
      </c>
      <c r="K82" s="6">
        <f>IF(E82&gt;'Resumen'!$B$14,'Tramos_red'!V10,0)</f>
        <v>0</v>
      </c>
      <c r="L82" s="1">
        <f>J82*'Entradas'!B13</f>
        <v>0</v>
      </c>
      <c r="M82" s="1">
        <f>K82*'Entradas'!B11</f>
        <v>0</v>
      </c>
      <c r="N82" s="1">
        <f>IF(E82&gt;'Resumen'!$B$14,'Tramos_red'!P10,0)</f>
        <v>0</v>
      </c>
      <c r="O82" s="1">
        <f>IF(E82&gt;'Resumen'!$B$14,'Tramos_red'!Q10,0)</f>
        <v>0</v>
      </c>
      <c r="P82" s="1">
        <f>IF(E82&gt;'Resumen'!$B$14,'Tramos_red'!R10,0)</f>
        <v>0</v>
      </c>
      <c r="Q82" s="1">
        <f>IF(E82&lt;='Resumen'!$B$14,0,IF('Entradas'!$B$5=0,"sin U",IF(P82=0,"infinita",E82/('Entradas'!$B$5*P82))))</f>
        <v>0</v>
      </c>
    </row>
    <row r="83" spans="1:17" ht="21" customHeight="1">
      <c r="A83" s="4" t="s">
        <v>182</v>
      </c>
      <c r="B83" s="1">
        <v>7</v>
      </c>
      <c r="C83" s="4" t="str">
        <f>'Entradas'!A13</f>
        <v>C3</v>
      </c>
      <c r="D83" s="4" t="str">
        <f>'Entradas'!A12</f>
        <v>H2</v>
      </c>
      <c r="E83" s="1">
        <f>'Tramos_red'!M10*'Tramos_red'!V10*'Tramos_red'!Y10</f>
        <v>0.0</v>
      </c>
      <c r="F83" s="1">
        <f>IF(E83&gt;'Resumen'!$B$14,'Tramos_red'!J10,"")</f>
        <v/>
      </c>
      <c r="G83" s="1">
        <f>IF(E83&gt;'Resumen'!$B$14,'Tramos_red'!I10,"")</f>
        <v/>
      </c>
      <c r="H83" s="1">
        <f>IF(E83&gt;'Resumen'!$B$14,'Tramos_red'!K10,"")</f>
        <v/>
      </c>
      <c r="I83" s="1">
        <f>IF(E83&gt;'Resumen'!$B$14,'Tramos_red'!L10,"")</f>
        <v/>
      </c>
      <c r="J83" s="6">
        <f>IF(E83&gt;'Resumen'!$B$14,'Tramos_red'!Y10,0)</f>
        <v>0</v>
      </c>
      <c r="K83" s="6">
        <f>IF(E83&gt;'Resumen'!$B$14,'Tramos_red'!V10,0)</f>
        <v>0</v>
      </c>
      <c r="L83" s="1">
        <f>J83*'Entradas'!B13</f>
        <v>0</v>
      </c>
      <c r="M83" s="1">
        <f>K83*'Entradas'!B12</f>
        <v>0</v>
      </c>
      <c r="N83" s="1">
        <f>IF(E83&gt;'Resumen'!$B$14,'Tramos_red'!P10,0)</f>
        <v>0</v>
      </c>
      <c r="O83" s="1">
        <f>IF(E83&gt;'Resumen'!$B$14,'Tramos_red'!Q10,0)</f>
        <v>0</v>
      </c>
      <c r="P83" s="1">
        <f>IF(E83&gt;'Resumen'!$B$14,'Tramos_red'!R10,0)</f>
        <v>0</v>
      </c>
      <c r="Q83" s="1">
        <f>IF(E83&lt;='Resumen'!$B$14,0,IF('Entradas'!$B$5=0,"sin U",IF(P83=0,"infinita",E83/('Entradas'!$B$5*P83))))</f>
        <v>0</v>
      </c>
    </row>
    <row r="84" spans="1:17" ht="21" customHeight="1">
      <c r="A84" s="4" t="s">
        <v>183</v>
      </c>
      <c r="B84" s="1">
        <v>7</v>
      </c>
      <c r="C84" s="4" t="str">
        <f>'Entradas'!A13</f>
        <v>C3</v>
      </c>
      <c r="D84" s="4" t="str">
        <f>'Entradas'!A14</f>
        <v>C4</v>
      </c>
      <c r="E84" s="1">
        <f>'Tramos_red'!M10*'Tramos_red'!V10*'Tramos_red'!AA10</f>
        <v>0.0</v>
      </c>
      <c r="F84" s="1">
        <f>IF(E84&gt;'Resumen'!$B$14,'Tramos_red'!J10,"")</f>
        <v/>
      </c>
      <c r="G84" s="1">
        <f>IF(E84&gt;'Resumen'!$B$14,'Tramos_red'!I10,"")</f>
        <v/>
      </c>
      <c r="H84" s="1">
        <f>IF(E84&gt;'Resumen'!$B$14,'Tramos_red'!K10,"")</f>
        <v/>
      </c>
      <c r="I84" s="1">
        <f>IF(E84&gt;'Resumen'!$B$14,'Tramos_red'!L10,"")</f>
        <v/>
      </c>
      <c r="J84" s="6">
        <f>IF(E84&gt;'Resumen'!$B$14,'Tramos_red'!AA10,0)</f>
        <v>0</v>
      </c>
      <c r="K84" s="6">
        <f>IF(E84&gt;'Resumen'!$B$14,'Tramos_red'!V10,0)</f>
        <v>0</v>
      </c>
      <c r="L84" s="1">
        <f>J84*'Entradas'!B13</f>
        <v>0</v>
      </c>
      <c r="M84" s="1">
        <f>K84*'Entradas'!B14</f>
        <v>0</v>
      </c>
      <c r="N84" s="1">
        <f>IF(E84&gt;'Resumen'!$B$14,'Tramos_red'!P10,0)</f>
        <v>0</v>
      </c>
      <c r="O84" s="1">
        <f>IF(E84&gt;'Resumen'!$B$14,'Tramos_red'!Q10,0)</f>
        <v>0</v>
      </c>
      <c r="P84" s="1">
        <f>IF(E84&gt;'Resumen'!$B$14,'Tramos_red'!R10,0)</f>
        <v>0</v>
      </c>
      <c r="Q84" s="1">
        <f>IF(E84&lt;='Resumen'!$B$14,0,IF('Entradas'!$B$5=0,"sin U",IF(P84=0,"infinita",E84/('Entradas'!$B$5*P84))))</f>
        <v>0</v>
      </c>
    </row>
    <row r="85" spans="1:17" ht="21" customHeight="1">
      <c r="A85" s="4" t="s">
        <v>184</v>
      </c>
      <c r="B85" s="1">
        <v>7</v>
      </c>
      <c r="C85" s="4" t="str">
        <f>'Entradas'!A14</f>
        <v>C4</v>
      </c>
      <c r="D85" s="4" t="str">
        <f>'Entradas'!A11</f>
        <v>H1</v>
      </c>
      <c r="E85" s="1">
        <f>'Tramos_red'!M10*'Tramos_red'!W10*'Tramos_red'!X10</f>
        <v>0.0</v>
      </c>
      <c r="F85" s="1">
        <f>IF(E85&gt;'Resumen'!$B$14,'Tramos_red'!J10,"")</f>
        <v/>
      </c>
      <c r="G85" s="1">
        <f>IF(E85&gt;'Resumen'!$B$14,'Tramos_red'!I10,"")</f>
        <v/>
      </c>
      <c r="H85" s="1">
        <f>IF(E85&gt;'Resumen'!$B$14,'Tramos_red'!K10,"")</f>
        <v/>
      </c>
      <c r="I85" s="1">
        <f>IF(E85&gt;'Resumen'!$B$14,'Tramos_red'!L10,"")</f>
        <v/>
      </c>
      <c r="J85" s="6">
        <f>IF(E85&gt;'Resumen'!$B$14,'Tramos_red'!X10,0)</f>
        <v>0</v>
      </c>
      <c r="K85" s="6">
        <f>IF(E85&gt;'Resumen'!$B$14,'Tramos_red'!W10,0)</f>
        <v>0</v>
      </c>
      <c r="L85" s="1">
        <f>J85*'Entradas'!B14</f>
        <v>0</v>
      </c>
      <c r="M85" s="1">
        <f>K85*'Entradas'!B11</f>
        <v>0</v>
      </c>
      <c r="N85" s="1">
        <f>IF(E85&gt;'Resumen'!$B$14,'Tramos_red'!P10,0)</f>
        <v>0</v>
      </c>
      <c r="O85" s="1">
        <f>IF(E85&gt;'Resumen'!$B$14,'Tramos_red'!Q10,0)</f>
        <v>0</v>
      </c>
      <c r="P85" s="1">
        <f>IF(E85&gt;'Resumen'!$B$14,'Tramos_red'!R10,0)</f>
        <v>0</v>
      </c>
      <c r="Q85" s="1">
        <f>IF(E85&lt;='Resumen'!$B$14,0,IF('Entradas'!$B$5=0,"sin U",IF(P85=0,"infinita",E85/('Entradas'!$B$5*P85))))</f>
        <v>0</v>
      </c>
    </row>
    <row r="86" spans="1:17" ht="21" customHeight="1">
      <c r="A86" s="4" t="s">
        <v>185</v>
      </c>
      <c r="B86" s="1">
        <v>7</v>
      </c>
      <c r="C86" s="4" t="str">
        <f>'Entradas'!A14</f>
        <v>C4</v>
      </c>
      <c r="D86" s="4" t="str">
        <f>'Entradas'!A12</f>
        <v>H2</v>
      </c>
      <c r="E86" s="1">
        <f>'Tramos_red'!M10*'Tramos_red'!W10*'Tramos_red'!Y10</f>
        <v>0.0</v>
      </c>
      <c r="F86" s="1">
        <f>IF(E86&gt;'Resumen'!$B$14,'Tramos_red'!J10,"")</f>
        <v/>
      </c>
      <c r="G86" s="1">
        <f>IF(E86&gt;'Resumen'!$B$14,'Tramos_red'!I10,"")</f>
        <v/>
      </c>
      <c r="H86" s="1">
        <f>IF(E86&gt;'Resumen'!$B$14,'Tramos_red'!K10,"")</f>
        <v/>
      </c>
      <c r="I86" s="1">
        <f>IF(E86&gt;'Resumen'!$B$14,'Tramos_red'!L10,"")</f>
        <v/>
      </c>
      <c r="J86" s="6">
        <f>IF(E86&gt;'Resumen'!$B$14,'Tramos_red'!Y10,0)</f>
        <v>0</v>
      </c>
      <c r="K86" s="6">
        <f>IF(E86&gt;'Resumen'!$B$14,'Tramos_red'!W10,0)</f>
        <v>0</v>
      </c>
      <c r="L86" s="1">
        <f>J86*'Entradas'!B14</f>
        <v>0</v>
      </c>
      <c r="M86" s="1">
        <f>K86*'Entradas'!B12</f>
        <v>0</v>
      </c>
      <c r="N86" s="1">
        <f>IF(E86&gt;'Resumen'!$B$14,'Tramos_red'!P10,0)</f>
        <v>0</v>
      </c>
      <c r="O86" s="1">
        <f>IF(E86&gt;'Resumen'!$B$14,'Tramos_red'!Q10,0)</f>
        <v>0</v>
      </c>
      <c r="P86" s="1">
        <f>IF(E86&gt;'Resumen'!$B$14,'Tramos_red'!R10,0)</f>
        <v>0</v>
      </c>
      <c r="Q86" s="1">
        <f>IF(E86&lt;='Resumen'!$B$14,0,IF('Entradas'!$B$5=0,"sin U",IF(P86=0,"infinita",E86/('Entradas'!$B$5*P86))))</f>
        <v>0</v>
      </c>
    </row>
    <row r="87" spans="1:17" ht="21" customHeight="1">
      <c r="A87" s="4" t="s">
        <v>186</v>
      </c>
      <c r="B87" s="1">
        <v>7</v>
      </c>
      <c r="C87" s="4" t="str">
        <f>'Entradas'!A14</f>
        <v>C4</v>
      </c>
      <c r="D87" s="4" t="str">
        <f>'Entradas'!A13</f>
        <v>C3</v>
      </c>
      <c r="E87" s="1">
        <f>'Tramos_red'!M10*'Tramos_red'!W10*'Tramos_red'!Z10</f>
        <v>0.0</v>
      </c>
      <c r="F87" s="1">
        <f>IF(E87&gt;'Resumen'!$B$14,'Tramos_red'!J10,"")</f>
        <v/>
      </c>
      <c r="G87" s="1">
        <f>IF(E87&gt;'Resumen'!$B$14,'Tramos_red'!I10,"")</f>
        <v/>
      </c>
      <c r="H87" s="1">
        <f>IF(E87&gt;'Resumen'!$B$14,'Tramos_red'!K10,"")</f>
        <v/>
      </c>
      <c r="I87" s="1">
        <f>IF(E87&gt;'Resumen'!$B$14,'Tramos_red'!L10,"")</f>
        <v/>
      </c>
      <c r="J87" s="6">
        <f>IF(E87&gt;'Resumen'!$B$14,'Tramos_red'!Z10,0)</f>
        <v>0</v>
      </c>
      <c r="K87" s="6">
        <f>IF(E87&gt;'Resumen'!$B$14,'Tramos_red'!W10,0)</f>
        <v>0</v>
      </c>
      <c r="L87" s="1">
        <f>J87*'Entradas'!B14</f>
        <v>0</v>
      </c>
      <c r="M87" s="1">
        <f>K87*'Entradas'!B13</f>
        <v>0</v>
      </c>
      <c r="N87" s="1">
        <f>IF(E87&gt;'Resumen'!$B$14,'Tramos_red'!P10,0)</f>
        <v>0</v>
      </c>
      <c r="O87" s="1">
        <f>IF(E87&gt;'Resumen'!$B$14,'Tramos_red'!Q10,0)</f>
        <v>0</v>
      </c>
      <c r="P87" s="1">
        <f>IF(E87&gt;'Resumen'!$B$14,'Tramos_red'!R10,0)</f>
        <v>0</v>
      </c>
      <c r="Q87" s="1">
        <f>IF(E87&lt;='Resumen'!$B$14,0,IF('Entradas'!$B$5=0,"sin U",IF(P87=0,"infinita",E87/('Entradas'!$B$5*P87))))</f>
        <v>0</v>
      </c>
    </row>
    <row r="88" spans="1:17" ht="21" customHeight="1">
      <c r="A88" s="4" t="s">
        <v>187</v>
      </c>
      <c r="B88" s="1">
        <v>8</v>
      </c>
      <c r="C88" s="4" t="str">
        <f>'Entradas'!A11</f>
        <v>H1</v>
      </c>
      <c r="D88" s="4" t="str">
        <f>'Entradas'!A12</f>
        <v>H2</v>
      </c>
      <c r="E88" s="1">
        <f>'Tramos_red'!M11*'Tramos_red'!T11*'Tramos_red'!Y11</f>
        <v>0.0</v>
      </c>
      <c r="F88" s="1">
        <f>IF(E88&gt;'Resumen'!$B$14,'Tramos_red'!J11,"")</f>
        <v/>
      </c>
      <c r="G88" s="1">
        <f>IF(E88&gt;'Resumen'!$B$14,'Tramos_red'!I11,"")</f>
        <v/>
      </c>
      <c r="H88" s="1">
        <f>IF(E88&gt;'Resumen'!$B$14,'Tramos_red'!K11,"")</f>
        <v/>
      </c>
      <c r="I88" s="1">
        <f>IF(E88&gt;'Resumen'!$B$14,'Tramos_red'!L11,"")</f>
        <v/>
      </c>
      <c r="J88" s="6">
        <f>IF(E88&gt;'Resumen'!$B$14,'Tramos_red'!Y11,0)</f>
        <v>0</v>
      </c>
      <c r="K88" s="6">
        <f>IF(E88&gt;'Resumen'!$B$14,'Tramos_red'!T11,0)</f>
        <v>0</v>
      </c>
      <c r="L88" s="1">
        <f>J88*'Entradas'!B11</f>
        <v>0</v>
      </c>
      <c r="M88" s="1">
        <f>K88*'Entradas'!B12</f>
        <v>0</v>
      </c>
      <c r="N88" s="1">
        <f>IF(E88&gt;'Resumen'!$B$14,'Tramos_red'!P11,0)</f>
        <v>0</v>
      </c>
      <c r="O88" s="1">
        <f>IF(E88&gt;'Resumen'!$B$14,'Tramos_red'!Q11,0)</f>
        <v>0</v>
      </c>
      <c r="P88" s="1">
        <f>IF(E88&gt;'Resumen'!$B$14,'Tramos_red'!R11,0)</f>
        <v>0</v>
      </c>
      <c r="Q88" s="1">
        <f>IF(E88&lt;='Resumen'!$B$14,0,IF('Entradas'!$B$5=0,"sin U",IF(P88=0,"infinita",E88/('Entradas'!$B$5*P88))))</f>
        <v>0</v>
      </c>
    </row>
    <row r="89" spans="1:17" ht="21" customHeight="1">
      <c r="A89" s="4" t="s">
        <v>188</v>
      </c>
      <c r="B89" s="1">
        <v>8</v>
      </c>
      <c r="C89" s="4" t="str">
        <f>'Entradas'!A11</f>
        <v>H1</v>
      </c>
      <c r="D89" s="4" t="str">
        <f>'Entradas'!A13</f>
        <v>C3</v>
      </c>
      <c r="E89" s="1">
        <f>'Tramos_red'!M11*'Tramos_red'!T11*'Tramos_red'!Z11</f>
        <v>3333.333333333333</v>
      </c>
      <c r="F89" s="1">
        <f>IF(E89&gt;'Resumen'!$B$14,'Tramos_red'!J11,"")</f>
        <v>150.0</v>
      </c>
      <c r="G89" s="1">
        <f>IF(E89&gt;'Resumen'!$B$14,'Tramos_red'!I11,"")</f>
        <v>140.0</v>
      </c>
      <c r="H89" s="1">
        <f>IF(E89&gt;'Resumen'!$B$14,'Tramos_red'!K11,"")</f>
        <v>130.0</v>
      </c>
      <c r="I89" s="1">
        <f>IF(E89&gt;'Resumen'!$B$14,'Tramos_red'!L11,"")</f>
        <v>135.55555555555554</v>
      </c>
      <c r="J89" s="6">
        <f>IF(E89&gt;'Resumen'!$B$14,'Tramos_red'!Z11,0)</f>
        <v>0.3333333333333333</v>
      </c>
      <c r="K89" s="6">
        <f>IF(E89&gt;'Resumen'!$B$14,'Tramos_red'!T11,0)</f>
        <v>0.2</v>
      </c>
      <c r="L89" s="1">
        <f>J89*'Entradas'!B11</f>
        <v>333.3333333333333</v>
      </c>
      <c r="M89" s="1">
        <f>K89*'Entradas'!B13</f>
        <v>600.0</v>
      </c>
      <c r="N89" s="1">
        <f>IF(E89&gt;'Resumen'!$B$14,'Tramos_red'!P11,0)</f>
        <v>14.444444444444457</v>
      </c>
      <c r="O89" s="1">
        <f>IF(E89&gt;'Resumen'!$B$14,'Tramos_red'!Q11,0)</f>
        <v>10.0</v>
      </c>
      <c r="P89" s="1">
        <f>IF(E89&gt;'Resumen'!$B$14,'Tramos_red'!R11,0)</f>
        <v>12.086333814462595</v>
      </c>
      <c r="Q89" s="1" t="str">
        <f>IF(E89&lt;='Resumen'!$B$14,0,IF('Entradas'!$B$5=0,"sin U",IF(P89=0,"infinita",E89/('Entradas'!$B$5*P89))))</f>
        <v>sin U</v>
      </c>
    </row>
    <row r="90" spans="1:17" ht="21" customHeight="1">
      <c r="A90" s="4" t="s">
        <v>189</v>
      </c>
      <c r="B90" s="1">
        <v>8</v>
      </c>
      <c r="C90" s="4" t="str">
        <f>'Entradas'!A11</f>
        <v>H1</v>
      </c>
      <c r="D90" s="4" t="str">
        <f>'Entradas'!A14</f>
        <v>C4</v>
      </c>
      <c r="E90" s="1">
        <f>'Tramos_red'!M11*'Tramos_red'!T11*'Tramos_red'!AA11</f>
        <v>6666.666666666666</v>
      </c>
      <c r="F90" s="1">
        <f>IF(E90&gt;'Resumen'!$B$14,'Tramos_red'!J11,"")</f>
        <v>150.0</v>
      </c>
      <c r="G90" s="1">
        <f>IF(E90&gt;'Resumen'!$B$14,'Tramos_red'!I11,"")</f>
        <v>140.0</v>
      </c>
      <c r="H90" s="1">
        <f>IF(E90&gt;'Resumen'!$B$14,'Tramos_red'!K11,"")</f>
        <v>130.0</v>
      </c>
      <c r="I90" s="1">
        <f>IF(E90&gt;'Resumen'!$B$14,'Tramos_red'!L11,"")</f>
        <v>135.55555555555554</v>
      </c>
      <c r="J90" s="6">
        <f>IF(E90&gt;'Resumen'!$B$14,'Tramos_red'!AA11,0)</f>
        <v>0.6666666666666666</v>
      </c>
      <c r="K90" s="6">
        <f>IF(E90&gt;'Resumen'!$B$14,'Tramos_red'!T11,0)</f>
        <v>0.2</v>
      </c>
      <c r="L90" s="1">
        <f>J90*'Entradas'!B11</f>
        <v>666.6666666666666</v>
      </c>
      <c r="M90" s="1">
        <f>K90*'Entradas'!B14</f>
        <v>1200.0</v>
      </c>
      <c r="N90" s="1">
        <f>IF(E90&gt;'Resumen'!$B$14,'Tramos_red'!P11,0)</f>
        <v>14.444444444444457</v>
      </c>
      <c r="O90" s="1">
        <f>IF(E90&gt;'Resumen'!$B$14,'Tramos_red'!Q11,0)</f>
        <v>10.0</v>
      </c>
      <c r="P90" s="1">
        <f>IF(E90&gt;'Resumen'!$B$14,'Tramos_red'!R11,0)</f>
        <v>12.086333814462595</v>
      </c>
      <c r="Q90" s="1" t="str">
        <f>IF(E90&lt;='Resumen'!$B$14,0,IF('Entradas'!$B$5=0,"sin U",IF(P90=0,"infinita",E90/('Entradas'!$B$5*P90))))</f>
        <v>sin U</v>
      </c>
    </row>
    <row r="91" spans="1:17" ht="21" customHeight="1">
      <c r="A91" s="4" t="s">
        <v>190</v>
      </c>
      <c r="B91" s="1">
        <v>8</v>
      </c>
      <c r="C91" s="4" t="str">
        <f>'Entradas'!A12</f>
        <v>H2</v>
      </c>
      <c r="D91" s="4" t="str">
        <f>'Entradas'!A11</f>
        <v>H1</v>
      </c>
      <c r="E91" s="1">
        <f>'Tramos_red'!M11*'Tramos_red'!U11*'Tramos_red'!X11</f>
        <v>0.0</v>
      </c>
      <c r="F91" s="1">
        <f>IF(E91&gt;'Resumen'!$B$14,'Tramos_red'!J11,"")</f>
        <v/>
      </c>
      <c r="G91" s="1">
        <f>IF(E91&gt;'Resumen'!$B$14,'Tramos_red'!I11,"")</f>
        <v/>
      </c>
      <c r="H91" s="1">
        <f>IF(E91&gt;'Resumen'!$B$14,'Tramos_red'!K11,"")</f>
        <v/>
      </c>
      <c r="I91" s="1">
        <f>IF(E91&gt;'Resumen'!$B$14,'Tramos_red'!L11,"")</f>
        <v/>
      </c>
      <c r="J91" s="6">
        <f>IF(E91&gt;'Resumen'!$B$14,'Tramos_red'!X11,0)</f>
        <v>0</v>
      </c>
      <c r="K91" s="6">
        <f>IF(E91&gt;'Resumen'!$B$14,'Tramos_red'!U11,0)</f>
        <v>0</v>
      </c>
      <c r="L91" s="1">
        <f>J91*'Entradas'!B12</f>
        <v>0</v>
      </c>
      <c r="M91" s="1">
        <f>K91*'Entradas'!B11</f>
        <v>0</v>
      </c>
      <c r="N91" s="1">
        <f>IF(E91&gt;'Resumen'!$B$14,'Tramos_red'!P11,0)</f>
        <v>0</v>
      </c>
      <c r="O91" s="1">
        <f>IF(E91&gt;'Resumen'!$B$14,'Tramos_red'!Q11,0)</f>
        <v>0</v>
      </c>
      <c r="P91" s="1">
        <f>IF(E91&gt;'Resumen'!$B$14,'Tramos_red'!R11,0)</f>
        <v>0</v>
      </c>
      <c r="Q91" s="1">
        <f>IF(E91&lt;='Resumen'!$B$14,0,IF('Entradas'!$B$5=0,"sin U",IF(P91=0,"infinita",E91/('Entradas'!$B$5*P91))))</f>
        <v>0</v>
      </c>
    </row>
    <row r="92" spans="1:17" ht="21" customHeight="1">
      <c r="A92" s="4" t="s">
        <v>191</v>
      </c>
      <c r="B92" s="1">
        <v>8</v>
      </c>
      <c r="C92" s="4" t="str">
        <f>'Entradas'!A12</f>
        <v>H2</v>
      </c>
      <c r="D92" s="4" t="str">
        <f>'Entradas'!A13</f>
        <v>C3</v>
      </c>
      <c r="E92" s="1">
        <f>'Tramos_red'!M11*'Tramos_red'!U11*'Tramos_red'!Z11</f>
        <v>13333.333333333332</v>
      </c>
      <c r="F92" s="1">
        <f>IF(E92&gt;'Resumen'!$B$14,'Tramos_red'!J11,"")</f>
        <v>150.0</v>
      </c>
      <c r="G92" s="1">
        <f>IF(E92&gt;'Resumen'!$B$14,'Tramos_red'!I11,"")</f>
        <v>140.0</v>
      </c>
      <c r="H92" s="1">
        <f>IF(E92&gt;'Resumen'!$B$14,'Tramos_red'!K11,"")</f>
        <v>130.0</v>
      </c>
      <c r="I92" s="1">
        <f>IF(E92&gt;'Resumen'!$B$14,'Tramos_red'!L11,"")</f>
        <v>135.55555555555554</v>
      </c>
      <c r="J92" s="6">
        <f>IF(E92&gt;'Resumen'!$B$14,'Tramos_red'!Z11,0)</f>
        <v>0.3333333333333333</v>
      </c>
      <c r="K92" s="6">
        <f>IF(E92&gt;'Resumen'!$B$14,'Tramos_red'!U11,0)</f>
        <v>0.8</v>
      </c>
      <c r="L92" s="1">
        <f>J92*'Entradas'!B12</f>
        <v>1333.3333333333333</v>
      </c>
      <c r="M92" s="1">
        <f>K92*'Entradas'!B13</f>
        <v>2400.0</v>
      </c>
      <c r="N92" s="1">
        <f>IF(E92&gt;'Resumen'!$B$14,'Tramos_red'!P11,0)</f>
        <v>14.444444444444457</v>
      </c>
      <c r="O92" s="1">
        <f>IF(E92&gt;'Resumen'!$B$14,'Tramos_red'!Q11,0)</f>
        <v>10.0</v>
      </c>
      <c r="P92" s="1">
        <f>IF(E92&gt;'Resumen'!$B$14,'Tramos_red'!R11,0)</f>
        <v>12.086333814462595</v>
      </c>
      <c r="Q92" s="1" t="str">
        <f>IF(E92&lt;='Resumen'!$B$14,0,IF('Entradas'!$B$5=0,"sin U",IF(P92=0,"infinita",E92/('Entradas'!$B$5*P92))))</f>
        <v>sin U</v>
      </c>
    </row>
    <row r="93" spans="1:17" ht="21" customHeight="1">
      <c r="A93" s="4" t="s">
        <v>192</v>
      </c>
      <c r="B93" s="1">
        <v>8</v>
      </c>
      <c r="C93" s="4" t="str">
        <f>'Entradas'!A12</f>
        <v>H2</v>
      </c>
      <c r="D93" s="4" t="str">
        <f>'Entradas'!A14</f>
        <v>C4</v>
      </c>
      <c r="E93" s="1">
        <f>'Tramos_red'!M11*'Tramos_red'!U11*'Tramos_red'!AA11</f>
        <v>26666.666666666664</v>
      </c>
      <c r="F93" s="1">
        <f>IF(E93&gt;'Resumen'!$B$14,'Tramos_red'!J11,"")</f>
        <v>150.0</v>
      </c>
      <c r="G93" s="1">
        <f>IF(E93&gt;'Resumen'!$B$14,'Tramos_red'!I11,"")</f>
        <v>140.0</v>
      </c>
      <c r="H93" s="1">
        <f>IF(E93&gt;'Resumen'!$B$14,'Tramos_red'!K11,"")</f>
        <v>130.0</v>
      </c>
      <c r="I93" s="1">
        <f>IF(E93&gt;'Resumen'!$B$14,'Tramos_red'!L11,"")</f>
        <v>135.55555555555554</v>
      </c>
      <c r="J93" s="6">
        <f>IF(E93&gt;'Resumen'!$B$14,'Tramos_red'!AA11,0)</f>
        <v>0.6666666666666666</v>
      </c>
      <c r="K93" s="6">
        <f>IF(E93&gt;'Resumen'!$B$14,'Tramos_red'!U11,0)</f>
        <v>0.8</v>
      </c>
      <c r="L93" s="1">
        <f>J93*'Entradas'!B12</f>
        <v>2666.6666666666665</v>
      </c>
      <c r="M93" s="1">
        <f>K93*'Entradas'!B14</f>
        <v>4800.0</v>
      </c>
      <c r="N93" s="1">
        <f>IF(E93&gt;'Resumen'!$B$14,'Tramos_red'!P11,0)</f>
        <v>14.444444444444457</v>
      </c>
      <c r="O93" s="1">
        <f>IF(E93&gt;'Resumen'!$B$14,'Tramos_red'!Q11,0)</f>
        <v>10.0</v>
      </c>
      <c r="P93" s="1">
        <f>IF(E93&gt;'Resumen'!$B$14,'Tramos_red'!R11,0)</f>
        <v>12.086333814462595</v>
      </c>
      <c r="Q93" s="1" t="str">
        <f>IF(E93&lt;='Resumen'!$B$14,0,IF('Entradas'!$B$5=0,"sin U",IF(P93=0,"infinita",E93/('Entradas'!$B$5*P93))))</f>
        <v>sin U</v>
      </c>
    </row>
    <row r="94" spans="1:17" ht="21" customHeight="1">
      <c r="A94" s="4" t="s">
        <v>193</v>
      </c>
      <c r="B94" s="1">
        <v>8</v>
      </c>
      <c r="C94" s="4" t="str">
        <f>'Entradas'!A13</f>
        <v>C3</v>
      </c>
      <c r="D94" s="4" t="str">
        <f>'Entradas'!A11</f>
        <v>H1</v>
      </c>
      <c r="E94" s="1">
        <f>'Tramos_red'!M11*'Tramos_red'!V11*'Tramos_red'!X11</f>
        <v>0.0</v>
      </c>
      <c r="F94" s="1">
        <f>IF(E94&gt;'Resumen'!$B$14,'Tramos_red'!J11,"")</f>
        <v/>
      </c>
      <c r="G94" s="1">
        <f>IF(E94&gt;'Resumen'!$B$14,'Tramos_red'!I11,"")</f>
        <v/>
      </c>
      <c r="H94" s="1">
        <f>IF(E94&gt;'Resumen'!$B$14,'Tramos_red'!K11,"")</f>
        <v/>
      </c>
      <c r="I94" s="1">
        <f>IF(E94&gt;'Resumen'!$B$14,'Tramos_red'!L11,"")</f>
        <v/>
      </c>
      <c r="J94" s="6">
        <f>IF(E94&gt;'Resumen'!$B$14,'Tramos_red'!X11,0)</f>
        <v>0</v>
      </c>
      <c r="K94" s="6">
        <f>IF(E94&gt;'Resumen'!$B$14,'Tramos_red'!V11,0)</f>
        <v>0</v>
      </c>
      <c r="L94" s="1">
        <f>J94*'Entradas'!B13</f>
        <v>0</v>
      </c>
      <c r="M94" s="1">
        <f>K94*'Entradas'!B11</f>
        <v>0</v>
      </c>
      <c r="N94" s="1">
        <f>IF(E94&gt;'Resumen'!$B$14,'Tramos_red'!P11,0)</f>
        <v>0</v>
      </c>
      <c r="O94" s="1">
        <f>IF(E94&gt;'Resumen'!$B$14,'Tramos_red'!Q11,0)</f>
        <v>0</v>
      </c>
      <c r="P94" s="1">
        <f>IF(E94&gt;'Resumen'!$B$14,'Tramos_red'!R11,0)</f>
        <v>0</v>
      </c>
      <c r="Q94" s="1">
        <f>IF(E94&lt;='Resumen'!$B$14,0,IF('Entradas'!$B$5=0,"sin U",IF(P94=0,"infinita",E94/('Entradas'!$B$5*P94))))</f>
        <v>0</v>
      </c>
    </row>
    <row r="95" spans="1:17" ht="21" customHeight="1">
      <c r="A95" s="4" t="s">
        <v>194</v>
      </c>
      <c r="B95" s="1">
        <v>8</v>
      </c>
      <c r="C95" s="4" t="str">
        <f>'Entradas'!A13</f>
        <v>C3</v>
      </c>
      <c r="D95" s="4" t="str">
        <f>'Entradas'!A12</f>
        <v>H2</v>
      </c>
      <c r="E95" s="1">
        <f>'Tramos_red'!M11*'Tramos_red'!V11*'Tramos_red'!Y11</f>
        <v>0.0</v>
      </c>
      <c r="F95" s="1">
        <f>IF(E95&gt;'Resumen'!$B$14,'Tramos_red'!J11,"")</f>
        <v/>
      </c>
      <c r="G95" s="1">
        <f>IF(E95&gt;'Resumen'!$B$14,'Tramos_red'!I11,"")</f>
        <v/>
      </c>
      <c r="H95" s="1">
        <f>IF(E95&gt;'Resumen'!$B$14,'Tramos_red'!K11,"")</f>
        <v/>
      </c>
      <c r="I95" s="1">
        <f>IF(E95&gt;'Resumen'!$B$14,'Tramos_red'!L11,"")</f>
        <v/>
      </c>
      <c r="J95" s="6">
        <f>IF(E95&gt;'Resumen'!$B$14,'Tramos_red'!Y11,0)</f>
        <v>0</v>
      </c>
      <c r="K95" s="6">
        <f>IF(E95&gt;'Resumen'!$B$14,'Tramos_red'!V11,0)</f>
        <v>0</v>
      </c>
      <c r="L95" s="1">
        <f>J95*'Entradas'!B13</f>
        <v>0</v>
      </c>
      <c r="M95" s="1">
        <f>K95*'Entradas'!B12</f>
        <v>0</v>
      </c>
      <c r="N95" s="1">
        <f>IF(E95&gt;'Resumen'!$B$14,'Tramos_red'!P11,0)</f>
        <v>0</v>
      </c>
      <c r="O95" s="1">
        <f>IF(E95&gt;'Resumen'!$B$14,'Tramos_red'!Q11,0)</f>
        <v>0</v>
      </c>
      <c r="P95" s="1">
        <f>IF(E95&gt;'Resumen'!$B$14,'Tramos_red'!R11,0)</f>
        <v>0</v>
      </c>
      <c r="Q95" s="1">
        <f>IF(E95&lt;='Resumen'!$B$14,0,IF('Entradas'!$B$5=0,"sin U",IF(P95=0,"infinita",E95/('Entradas'!$B$5*P95))))</f>
        <v>0</v>
      </c>
    </row>
    <row r="96" spans="1:17" ht="21" customHeight="1">
      <c r="A96" s="4" t="s">
        <v>195</v>
      </c>
      <c r="B96" s="1">
        <v>8</v>
      </c>
      <c r="C96" s="4" t="str">
        <f>'Entradas'!A13</f>
        <v>C3</v>
      </c>
      <c r="D96" s="4" t="str">
        <f>'Entradas'!A14</f>
        <v>C4</v>
      </c>
      <c r="E96" s="1">
        <f>'Tramos_red'!M11*'Tramos_red'!V11*'Tramos_red'!AA11</f>
        <v>0.0</v>
      </c>
      <c r="F96" s="1">
        <f>IF(E96&gt;'Resumen'!$B$14,'Tramos_red'!J11,"")</f>
        <v/>
      </c>
      <c r="G96" s="1">
        <f>IF(E96&gt;'Resumen'!$B$14,'Tramos_red'!I11,"")</f>
        <v/>
      </c>
      <c r="H96" s="1">
        <f>IF(E96&gt;'Resumen'!$B$14,'Tramos_red'!K11,"")</f>
        <v/>
      </c>
      <c r="I96" s="1">
        <f>IF(E96&gt;'Resumen'!$B$14,'Tramos_red'!L11,"")</f>
        <v/>
      </c>
      <c r="J96" s="6">
        <f>IF(E96&gt;'Resumen'!$B$14,'Tramos_red'!AA11,0)</f>
        <v>0</v>
      </c>
      <c r="K96" s="6">
        <f>IF(E96&gt;'Resumen'!$B$14,'Tramos_red'!V11,0)</f>
        <v>0</v>
      </c>
      <c r="L96" s="1">
        <f>J96*'Entradas'!B13</f>
        <v>0</v>
      </c>
      <c r="M96" s="1">
        <f>K96*'Entradas'!B14</f>
        <v>0</v>
      </c>
      <c r="N96" s="1">
        <f>IF(E96&gt;'Resumen'!$B$14,'Tramos_red'!P11,0)</f>
        <v>0</v>
      </c>
      <c r="O96" s="1">
        <f>IF(E96&gt;'Resumen'!$B$14,'Tramos_red'!Q11,0)</f>
        <v>0</v>
      </c>
      <c r="P96" s="1">
        <f>IF(E96&gt;'Resumen'!$B$14,'Tramos_red'!R11,0)</f>
        <v>0</v>
      </c>
      <c r="Q96" s="1">
        <f>IF(E96&lt;='Resumen'!$B$14,0,IF('Entradas'!$B$5=0,"sin U",IF(P96=0,"infinita",E96/('Entradas'!$B$5*P96))))</f>
        <v>0</v>
      </c>
    </row>
    <row r="97" spans="1:17" ht="21" customHeight="1">
      <c r="A97" s="4" t="s">
        <v>196</v>
      </c>
      <c r="B97" s="1">
        <v>8</v>
      </c>
      <c r="C97" s="4" t="str">
        <f>'Entradas'!A14</f>
        <v>C4</v>
      </c>
      <c r="D97" s="4" t="str">
        <f>'Entradas'!A11</f>
        <v>H1</v>
      </c>
      <c r="E97" s="1">
        <f>'Tramos_red'!M11*'Tramos_red'!W11*'Tramos_red'!X11</f>
        <v>0.0</v>
      </c>
      <c r="F97" s="1">
        <f>IF(E97&gt;'Resumen'!$B$14,'Tramos_red'!J11,"")</f>
        <v/>
      </c>
      <c r="G97" s="1">
        <f>IF(E97&gt;'Resumen'!$B$14,'Tramos_red'!I11,"")</f>
        <v/>
      </c>
      <c r="H97" s="1">
        <f>IF(E97&gt;'Resumen'!$B$14,'Tramos_red'!K11,"")</f>
        <v/>
      </c>
      <c r="I97" s="1">
        <f>IF(E97&gt;'Resumen'!$B$14,'Tramos_red'!L11,"")</f>
        <v/>
      </c>
      <c r="J97" s="6">
        <f>IF(E97&gt;'Resumen'!$B$14,'Tramos_red'!X11,0)</f>
        <v>0</v>
      </c>
      <c r="K97" s="6">
        <f>IF(E97&gt;'Resumen'!$B$14,'Tramos_red'!W11,0)</f>
        <v>0</v>
      </c>
      <c r="L97" s="1">
        <f>J97*'Entradas'!B14</f>
        <v>0</v>
      </c>
      <c r="M97" s="1">
        <f>K97*'Entradas'!B11</f>
        <v>0</v>
      </c>
      <c r="N97" s="1">
        <f>IF(E97&gt;'Resumen'!$B$14,'Tramos_red'!P11,0)</f>
        <v>0</v>
      </c>
      <c r="O97" s="1">
        <f>IF(E97&gt;'Resumen'!$B$14,'Tramos_red'!Q11,0)</f>
        <v>0</v>
      </c>
      <c r="P97" s="1">
        <f>IF(E97&gt;'Resumen'!$B$14,'Tramos_red'!R11,0)</f>
        <v>0</v>
      </c>
      <c r="Q97" s="1">
        <f>IF(E97&lt;='Resumen'!$B$14,0,IF('Entradas'!$B$5=0,"sin U",IF(P97=0,"infinita",E97/('Entradas'!$B$5*P97))))</f>
        <v>0</v>
      </c>
    </row>
    <row r="98" spans="1:17" ht="21" customHeight="1">
      <c r="A98" s="4" t="s">
        <v>197</v>
      </c>
      <c r="B98" s="1">
        <v>8</v>
      </c>
      <c r="C98" s="4" t="str">
        <f>'Entradas'!A14</f>
        <v>C4</v>
      </c>
      <c r="D98" s="4" t="str">
        <f>'Entradas'!A12</f>
        <v>H2</v>
      </c>
      <c r="E98" s="1">
        <f>'Tramos_red'!M11*'Tramos_red'!W11*'Tramos_red'!Y11</f>
        <v>0.0</v>
      </c>
      <c r="F98" s="1">
        <f>IF(E98&gt;'Resumen'!$B$14,'Tramos_red'!J11,"")</f>
        <v/>
      </c>
      <c r="G98" s="1">
        <f>IF(E98&gt;'Resumen'!$B$14,'Tramos_red'!I11,"")</f>
        <v/>
      </c>
      <c r="H98" s="1">
        <f>IF(E98&gt;'Resumen'!$B$14,'Tramos_red'!K11,"")</f>
        <v/>
      </c>
      <c r="I98" s="1">
        <f>IF(E98&gt;'Resumen'!$B$14,'Tramos_red'!L11,"")</f>
        <v/>
      </c>
      <c r="J98" s="6">
        <f>IF(E98&gt;'Resumen'!$B$14,'Tramos_red'!Y11,0)</f>
        <v>0</v>
      </c>
      <c r="K98" s="6">
        <f>IF(E98&gt;'Resumen'!$B$14,'Tramos_red'!W11,0)</f>
        <v>0</v>
      </c>
      <c r="L98" s="1">
        <f>J98*'Entradas'!B14</f>
        <v>0</v>
      </c>
      <c r="M98" s="1">
        <f>K98*'Entradas'!B12</f>
        <v>0</v>
      </c>
      <c r="N98" s="1">
        <f>IF(E98&gt;'Resumen'!$B$14,'Tramos_red'!P11,0)</f>
        <v>0</v>
      </c>
      <c r="O98" s="1">
        <f>IF(E98&gt;'Resumen'!$B$14,'Tramos_red'!Q11,0)</f>
        <v>0</v>
      </c>
      <c r="P98" s="1">
        <f>IF(E98&gt;'Resumen'!$B$14,'Tramos_red'!R11,0)</f>
        <v>0</v>
      </c>
      <c r="Q98" s="1">
        <f>IF(E98&lt;='Resumen'!$B$14,0,IF('Entradas'!$B$5=0,"sin U",IF(P98=0,"infinita",E98/('Entradas'!$B$5*P98))))</f>
        <v>0</v>
      </c>
    </row>
    <row r="99" spans="1:17" ht="21" customHeight="1">
      <c r="A99" s="4" t="s">
        <v>198</v>
      </c>
      <c r="B99" s="1">
        <v>8</v>
      </c>
      <c r="C99" s="4" t="str">
        <f>'Entradas'!A14</f>
        <v>C4</v>
      </c>
      <c r="D99" s="4" t="str">
        <f>'Entradas'!A13</f>
        <v>C3</v>
      </c>
      <c r="E99" s="1">
        <f>'Tramos_red'!M11*'Tramos_red'!W11*'Tramos_red'!Z11</f>
        <v>0.0</v>
      </c>
      <c r="F99" s="1">
        <f>IF(E99&gt;'Resumen'!$B$14,'Tramos_red'!J11,"")</f>
        <v/>
      </c>
      <c r="G99" s="1">
        <f>IF(E99&gt;'Resumen'!$B$14,'Tramos_red'!I11,"")</f>
        <v/>
      </c>
      <c r="H99" s="1">
        <f>IF(E99&gt;'Resumen'!$B$14,'Tramos_red'!K11,"")</f>
        <v/>
      </c>
      <c r="I99" s="1">
        <f>IF(E99&gt;'Resumen'!$B$14,'Tramos_red'!L11,"")</f>
        <v/>
      </c>
      <c r="J99" s="6">
        <f>IF(E99&gt;'Resumen'!$B$14,'Tramos_red'!Z11,0)</f>
        <v>0</v>
      </c>
      <c r="K99" s="6">
        <f>IF(E99&gt;'Resumen'!$B$14,'Tramos_red'!W11,0)</f>
        <v>0</v>
      </c>
      <c r="L99" s="1">
        <f>J99*'Entradas'!B14</f>
        <v>0</v>
      </c>
      <c r="M99" s="1">
        <f>K99*'Entradas'!B13</f>
        <v>0</v>
      </c>
      <c r="N99" s="1">
        <f>IF(E99&gt;'Resumen'!$B$14,'Tramos_red'!P11,0)</f>
        <v>0</v>
      </c>
      <c r="O99" s="1">
        <f>IF(E99&gt;'Resumen'!$B$14,'Tramos_red'!Q11,0)</f>
        <v>0</v>
      </c>
      <c r="P99" s="1">
        <f>IF(E99&gt;'Resumen'!$B$14,'Tramos_red'!R11,0)</f>
        <v>0</v>
      </c>
      <c r="Q99" s="1">
        <f>IF(E99&lt;='Resumen'!$B$14,0,IF('Entradas'!$B$5=0,"sin U",IF(P99=0,"infinita",E99/('Entradas'!$B$5*P99))))</f>
        <v>0</v>
      </c>
    </row>
    <row r="100" spans="1:17" ht="21" customHeight="1">
      <c r="A100" s="4" t="s">
        <v>199</v>
      </c>
      <c r="B100" s="1">
        <v>9</v>
      </c>
      <c r="C100" s="4" t="str">
        <f>'Entradas'!A11</f>
        <v>H1</v>
      </c>
      <c r="D100" s="4" t="str">
        <f>'Entradas'!A12</f>
        <v>H2</v>
      </c>
      <c r="E100" s="1">
        <f>'Tramos_red'!M12*'Tramos_red'!T12*'Tramos_red'!Y12</f>
        <v>0.0</v>
      </c>
      <c r="F100" s="1">
        <f>IF(E100&gt;'Resumen'!$B$14,'Tramos_red'!J12,"")</f>
        <v/>
      </c>
      <c r="G100" s="1">
        <f>IF(E100&gt;'Resumen'!$B$14,'Tramos_red'!I12,"")</f>
        <v/>
      </c>
      <c r="H100" s="1">
        <f>IF(E100&gt;'Resumen'!$B$14,'Tramos_red'!K12,"")</f>
        <v/>
      </c>
      <c r="I100" s="1">
        <f>IF(E100&gt;'Resumen'!$B$14,'Tramos_red'!L12,"")</f>
        <v/>
      </c>
      <c r="J100" s="6">
        <f>IF(E100&gt;'Resumen'!$B$14,'Tramos_red'!Y12,0)</f>
        <v>0</v>
      </c>
      <c r="K100" s="6">
        <f>IF(E100&gt;'Resumen'!$B$14,'Tramos_red'!T12,0)</f>
        <v>0</v>
      </c>
      <c r="L100" s="1">
        <f>J100*'Entradas'!B11</f>
        <v>0</v>
      </c>
      <c r="M100" s="1">
        <f>K100*'Entradas'!B12</f>
        <v>0</v>
      </c>
      <c r="N100" s="1">
        <f>IF(E100&gt;'Resumen'!$B$14,'Tramos_red'!P12,0)</f>
        <v>0</v>
      </c>
      <c r="O100" s="1">
        <f>IF(E100&gt;'Resumen'!$B$14,'Tramos_red'!Q12,0)</f>
        <v>0</v>
      </c>
      <c r="P100" s="1">
        <f>IF(E100&gt;'Resumen'!$B$14,'Tramos_red'!R12,0)</f>
        <v>0</v>
      </c>
      <c r="Q100" s="1">
        <f>IF(E100&lt;='Resumen'!$B$14,0,IF('Entradas'!$B$5=0,"sin U",IF(P100=0,"infinita",E100/('Entradas'!$B$5*P100))))</f>
        <v>0</v>
      </c>
    </row>
    <row r="101" spans="1:17" ht="21" customHeight="1">
      <c r="A101" s="4" t="s">
        <v>200</v>
      </c>
      <c r="B101" s="1">
        <v>9</v>
      </c>
      <c r="C101" s="4" t="str">
        <f>'Entradas'!A11</f>
        <v>H1</v>
      </c>
      <c r="D101" s="4" t="str">
        <f>'Entradas'!A13</f>
        <v>C3</v>
      </c>
      <c r="E101" s="1">
        <f>'Tramos_red'!M12*'Tramos_red'!T12*'Tramos_red'!Z12</f>
        <v>8666.666666666666</v>
      </c>
      <c r="F101" s="1">
        <f>IF(E101&gt;'Resumen'!$B$14,'Tramos_red'!J12,"")</f>
        <v>176.0</v>
      </c>
      <c r="G101" s="1">
        <f>IF(E101&gt;'Resumen'!$B$14,'Tramos_red'!I12,"")</f>
        <v>150.0</v>
      </c>
      <c r="H101" s="1">
        <f>IF(E101&gt;'Resumen'!$B$14,'Tramos_red'!K12,"")</f>
        <v>135.55555555555554</v>
      </c>
      <c r="I101" s="1">
        <f>IF(E101&gt;'Resumen'!$B$14,'Tramos_red'!L12,"")</f>
        <v>150.0</v>
      </c>
      <c r="J101" s="6">
        <f>IF(E101&gt;'Resumen'!$B$14,'Tramos_red'!Z12,0)</f>
        <v>0.3333333333333333</v>
      </c>
      <c r="K101" s="6">
        <f>IF(E101&gt;'Resumen'!$B$14,'Tramos_red'!T12,0)</f>
        <v>0.2</v>
      </c>
      <c r="L101" s="1">
        <f>J101*'Entradas'!B11</f>
        <v>333.3333333333333</v>
      </c>
      <c r="M101" s="1">
        <f>K101*'Entradas'!B13</f>
        <v>600.0</v>
      </c>
      <c r="N101" s="1">
        <f>IF(E101&gt;'Resumen'!$B$14,'Tramos_red'!P12,0)</f>
        <v>26.0</v>
      </c>
      <c r="O101" s="1">
        <f>IF(E101&gt;'Resumen'!$B$14,'Tramos_red'!Q12,0)</f>
        <v>14.444444444444457</v>
      </c>
      <c r="P101" s="1">
        <f>IF(E101&gt;'Resumen'!$B$14,'Tramos_red'!R12,0)</f>
        <v>19.65943810154292</v>
      </c>
      <c r="Q101" s="1" t="str">
        <f>IF(E101&lt;='Resumen'!$B$14,0,IF('Entradas'!$B$5=0,"sin U",IF(P101=0,"infinita",E101/('Entradas'!$B$5*P101))))</f>
        <v>sin U</v>
      </c>
    </row>
    <row r="102" spans="1:17" ht="21" customHeight="1">
      <c r="A102" s="4" t="s">
        <v>201</v>
      </c>
      <c r="B102" s="1">
        <v>9</v>
      </c>
      <c r="C102" s="4" t="str">
        <f>'Entradas'!A11</f>
        <v>H1</v>
      </c>
      <c r="D102" s="4" t="str">
        <f>'Entradas'!A14</f>
        <v>C4</v>
      </c>
      <c r="E102" s="1">
        <f>'Tramos_red'!M12*'Tramos_red'!T12*'Tramos_red'!AA12</f>
        <v>17333.333333333332</v>
      </c>
      <c r="F102" s="1">
        <f>IF(E102&gt;'Resumen'!$B$14,'Tramos_red'!J12,"")</f>
        <v>176.0</v>
      </c>
      <c r="G102" s="1">
        <f>IF(E102&gt;'Resumen'!$B$14,'Tramos_red'!I12,"")</f>
        <v>150.0</v>
      </c>
      <c r="H102" s="1">
        <f>IF(E102&gt;'Resumen'!$B$14,'Tramos_red'!K12,"")</f>
        <v>135.55555555555554</v>
      </c>
      <c r="I102" s="1">
        <f>IF(E102&gt;'Resumen'!$B$14,'Tramos_red'!L12,"")</f>
        <v>150.0</v>
      </c>
      <c r="J102" s="6">
        <f>IF(E102&gt;'Resumen'!$B$14,'Tramos_red'!AA12,0)</f>
        <v>0.6666666666666666</v>
      </c>
      <c r="K102" s="6">
        <f>IF(E102&gt;'Resumen'!$B$14,'Tramos_red'!T12,0)</f>
        <v>0.2</v>
      </c>
      <c r="L102" s="1">
        <f>J102*'Entradas'!B11</f>
        <v>666.6666666666666</v>
      </c>
      <c r="M102" s="1">
        <f>K102*'Entradas'!B14</f>
        <v>1200.0</v>
      </c>
      <c r="N102" s="1">
        <f>IF(E102&gt;'Resumen'!$B$14,'Tramos_red'!P12,0)</f>
        <v>26.0</v>
      </c>
      <c r="O102" s="1">
        <f>IF(E102&gt;'Resumen'!$B$14,'Tramos_red'!Q12,0)</f>
        <v>14.444444444444457</v>
      </c>
      <c r="P102" s="1">
        <f>IF(E102&gt;'Resumen'!$B$14,'Tramos_red'!R12,0)</f>
        <v>19.65943810154292</v>
      </c>
      <c r="Q102" s="1" t="str">
        <f>IF(E102&lt;='Resumen'!$B$14,0,IF('Entradas'!$B$5=0,"sin U",IF(P102=0,"infinita",E102/('Entradas'!$B$5*P102))))</f>
        <v>sin U</v>
      </c>
    </row>
    <row r="103" spans="1:17" ht="21" customHeight="1">
      <c r="A103" s="4" t="s">
        <v>202</v>
      </c>
      <c r="B103" s="1">
        <v>9</v>
      </c>
      <c r="C103" s="4" t="str">
        <f>'Entradas'!A12</f>
        <v>H2</v>
      </c>
      <c r="D103" s="4" t="str">
        <f>'Entradas'!A11</f>
        <v>H1</v>
      </c>
      <c r="E103" s="1">
        <f>'Tramos_red'!M12*'Tramos_red'!U12*'Tramos_red'!X12</f>
        <v>0.0</v>
      </c>
      <c r="F103" s="1">
        <f>IF(E103&gt;'Resumen'!$B$14,'Tramos_red'!J12,"")</f>
        <v/>
      </c>
      <c r="G103" s="1">
        <f>IF(E103&gt;'Resumen'!$B$14,'Tramos_red'!I12,"")</f>
        <v/>
      </c>
      <c r="H103" s="1">
        <f>IF(E103&gt;'Resumen'!$B$14,'Tramos_red'!K12,"")</f>
        <v/>
      </c>
      <c r="I103" s="1">
        <f>IF(E103&gt;'Resumen'!$B$14,'Tramos_red'!L12,"")</f>
        <v/>
      </c>
      <c r="J103" s="6">
        <f>IF(E103&gt;'Resumen'!$B$14,'Tramos_red'!X12,0)</f>
        <v>0</v>
      </c>
      <c r="K103" s="6">
        <f>IF(E103&gt;'Resumen'!$B$14,'Tramos_red'!U12,0)</f>
        <v>0</v>
      </c>
      <c r="L103" s="1">
        <f>J103*'Entradas'!B12</f>
        <v>0</v>
      </c>
      <c r="M103" s="1">
        <f>K103*'Entradas'!B11</f>
        <v>0</v>
      </c>
      <c r="N103" s="1">
        <f>IF(E103&gt;'Resumen'!$B$14,'Tramos_red'!P12,0)</f>
        <v>0</v>
      </c>
      <c r="O103" s="1">
        <f>IF(E103&gt;'Resumen'!$B$14,'Tramos_red'!Q12,0)</f>
        <v>0</v>
      </c>
      <c r="P103" s="1">
        <f>IF(E103&gt;'Resumen'!$B$14,'Tramos_red'!R12,0)</f>
        <v>0</v>
      </c>
      <c r="Q103" s="1">
        <f>IF(E103&lt;='Resumen'!$B$14,0,IF('Entradas'!$B$5=0,"sin U",IF(P103=0,"infinita",E103/('Entradas'!$B$5*P103))))</f>
        <v>0</v>
      </c>
    </row>
    <row r="104" spans="1:17" ht="21" customHeight="1">
      <c r="A104" s="4" t="s">
        <v>203</v>
      </c>
      <c r="B104" s="1">
        <v>9</v>
      </c>
      <c r="C104" s="4" t="str">
        <f>'Entradas'!A12</f>
        <v>H2</v>
      </c>
      <c r="D104" s="4" t="str">
        <f>'Entradas'!A13</f>
        <v>C3</v>
      </c>
      <c r="E104" s="1">
        <f>'Tramos_red'!M12*'Tramos_red'!U12*'Tramos_red'!Z12</f>
        <v>34666.666666666664</v>
      </c>
      <c r="F104" s="1">
        <f>IF(E104&gt;'Resumen'!$B$14,'Tramos_red'!J12,"")</f>
        <v>176.0</v>
      </c>
      <c r="G104" s="1">
        <f>IF(E104&gt;'Resumen'!$B$14,'Tramos_red'!I12,"")</f>
        <v>150.0</v>
      </c>
      <c r="H104" s="1">
        <f>IF(E104&gt;'Resumen'!$B$14,'Tramos_red'!K12,"")</f>
        <v>135.55555555555554</v>
      </c>
      <c r="I104" s="1">
        <f>IF(E104&gt;'Resumen'!$B$14,'Tramos_red'!L12,"")</f>
        <v>150.0</v>
      </c>
      <c r="J104" s="6">
        <f>IF(E104&gt;'Resumen'!$B$14,'Tramos_red'!Z12,0)</f>
        <v>0.3333333333333333</v>
      </c>
      <c r="K104" s="6">
        <f>IF(E104&gt;'Resumen'!$B$14,'Tramos_red'!U12,0)</f>
        <v>0.8</v>
      </c>
      <c r="L104" s="1">
        <f>J104*'Entradas'!B12</f>
        <v>1333.3333333333333</v>
      </c>
      <c r="M104" s="1">
        <f>K104*'Entradas'!B13</f>
        <v>2400.0</v>
      </c>
      <c r="N104" s="1">
        <f>IF(E104&gt;'Resumen'!$B$14,'Tramos_red'!P12,0)</f>
        <v>26.0</v>
      </c>
      <c r="O104" s="1">
        <f>IF(E104&gt;'Resumen'!$B$14,'Tramos_red'!Q12,0)</f>
        <v>14.444444444444457</v>
      </c>
      <c r="P104" s="1">
        <f>IF(E104&gt;'Resumen'!$B$14,'Tramos_red'!R12,0)</f>
        <v>19.65943810154292</v>
      </c>
      <c r="Q104" s="1" t="str">
        <f>IF(E104&lt;='Resumen'!$B$14,0,IF('Entradas'!$B$5=0,"sin U",IF(P104=0,"infinita",E104/('Entradas'!$B$5*P104))))</f>
        <v>sin U</v>
      </c>
    </row>
    <row r="105" spans="1:17" ht="21" customHeight="1">
      <c r="A105" s="4" t="s">
        <v>204</v>
      </c>
      <c r="B105" s="1">
        <v>9</v>
      </c>
      <c r="C105" s="4" t="str">
        <f>'Entradas'!A12</f>
        <v>H2</v>
      </c>
      <c r="D105" s="4" t="str">
        <f>'Entradas'!A14</f>
        <v>C4</v>
      </c>
      <c r="E105" s="1">
        <f>'Tramos_red'!M12*'Tramos_red'!U12*'Tramos_red'!AA12</f>
        <v>69333.33333333333</v>
      </c>
      <c r="F105" s="1">
        <f>IF(E105&gt;'Resumen'!$B$14,'Tramos_red'!J12,"")</f>
        <v>176.0</v>
      </c>
      <c r="G105" s="1">
        <f>IF(E105&gt;'Resumen'!$B$14,'Tramos_red'!I12,"")</f>
        <v>150.0</v>
      </c>
      <c r="H105" s="1">
        <f>IF(E105&gt;'Resumen'!$B$14,'Tramos_red'!K12,"")</f>
        <v>135.55555555555554</v>
      </c>
      <c r="I105" s="1">
        <f>IF(E105&gt;'Resumen'!$B$14,'Tramos_red'!L12,"")</f>
        <v>150.0</v>
      </c>
      <c r="J105" s="6">
        <f>IF(E105&gt;'Resumen'!$B$14,'Tramos_red'!AA12,0)</f>
        <v>0.6666666666666666</v>
      </c>
      <c r="K105" s="6">
        <f>IF(E105&gt;'Resumen'!$B$14,'Tramos_red'!U12,0)</f>
        <v>0.8</v>
      </c>
      <c r="L105" s="1">
        <f>J105*'Entradas'!B12</f>
        <v>2666.6666666666665</v>
      </c>
      <c r="M105" s="1">
        <f>K105*'Entradas'!B14</f>
        <v>4800.0</v>
      </c>
      <c r="N105" s="1">
        <f>IF(E105&gt;'Resumen'!$B$14,'Tramos_red'!P12,0)</f>
        <v>26.0</v>
      </c>
      <c r="O105" s="1">
        <f>IF(E105&gt;'Resumen'!$B$14,'Tramos_red'!Q12,0)</f>
        <v>14.444444444444457</v>
      </c>
      <c r="P105" s="1">
        <f>IF(E105&gt;'Resumen'!$B$14,'Tramos_red'!R12,0)</f>
        <v>19.65943810154292</v>
      </c>
      <c r="Q105" s="1" t="str">
        <f>IF(E105&lt;='Resumen'!$B$14,0,IF('Entradas'!$B$5=0,"sin U",IF(P105=0,"infinita",E105/('Entradas'!$B$5*P105))))</f>
        <v>sin U</v>
      </c>
    </row>
    <row r="106" spans="1:17" ht="21" customHeight="1">
      <c r="A106" s="4" t="s">
        <v>205</v>
      </c>
      <c r="B106" s="1">
        <v>9</v>
      </c>
      <c r="C106" s="4" t="str">
        <f>'Entradas'!A13</f>
        <v>C3</v>
      </c>
      <c r="D106" s="4" t="str">
        <f>'Entradas'!A11</f>
        <v>H1</v>
      </c>
      <c r="E106" s="1">
        <f>'Tramos_red'!M12*'Tramos_red'!V12*'Tramos_red'!X12</f>
        <v>0.0</v>
      </c>
      <c r="F106" s="1">
        <f>IF(E106&gt;'Resumen'!$B$14,'Tramos_red'!J12,"")</f>
        <v/>
      </c>
      <c r="G106" s="1">
        <f>IF(E106&gt;'Resumen'!$B$14,'Tramos_red'!I12,"")</f>
        <v/>
      </c>
      <c r="H106" s="1">
        <f>IF(E106&gt;'Resumen'!$B$14,'Tramos_red'!K12,"")</f>
        <v/>
      </c>
      <c r="I106" s="1">
        <f>IF(E106&gt;'Resumen'!$B$14,'Tramos_red'!L12,"")</f>
        <v/>
      </c>
      <c r="J106" s="6">
        <f>IF(E106&gt;'Resumen'!$B$14,'Tramos_red'!X12,0)</f>
        <v>0</v>
      </c>
      <c r="K106" s="6">
        <f>IF(E106&gt;'Resumen'!$B$14,'Tramos_red'!V12,0)</f>
        <v>0</v>
      </c>
      <c r="L106" s="1">
        <f>J106*'Entradas'!B13</f>
        <v>0</v>
      </c>
      <c r="M106" s="1">
        <f>K106*'Entradas'!B11</f>
        <v>0</v>
      </c>
      <c r="N106" s="1">
        <f>IF(E106&gt;'Resumen'!$B$14,'Tramos_red'!P12,0)</f>
        <v>0</v>
      </c>
      <c r="O106" s="1">
        <f>IF(E106&gt;'Resumen'!$B$14,'Tramos_red'!Q12,0)</f>
        <v>0</v>
      </c>
      <c r="P106" s="1">
        <f>IF(E106&gt;'Resumen'!$B$14,'Tramos_red'!R12,0)</f>
        <v>0</v>
      </c>
      <c r="Q106" s="1">
        <f>IF(E106&lt;='Resumen'!$B$14,0,IF('Entradas'!$B$5=0,"sin U",IF(P106=0,"infinita",E106/('Entradas'!$B$5*P106))))</f>
        <v>0</v>
      </c>
    </row>
    <row r="107" spans="1:17" ht="21" customHeight="1">
      <c r="A107" s="4" t="s">
        <v>206</v>
      </c>
      <c r="B107" s="1">
        <v>9</v>
      </c>
      <c r="C107" s="4" t="str">
        <f>'Entradas'!A13</f>
        <v>C3</v>
      </c>
      <c r="D107" s="4" t="str">
        <f>'Entradas'!A12</f>
        <v>H2</v>
      </c>
      <c r="E107" s="1">
        <f>'Tramos_red'!M12*'Tramos_red'!V12*'Tramos_red'!Y12</f>
        <v>0.0</v>
      </c>
      <c r="F107" s="1">
        <f>IF(E107&gt;'Resumen'!$B$14,'Tramos_red'!J12,"")</f>
        <v/>
      </c>
      <c r="G107" s="1">
        <f>IF(E107&gt;'Resumen'!$B$14,'Tramos_red'!I12,"")</f>
        <v/>
      </c>
      <c r="H107" s="1">
        <f>IF(E107&gt;'Resumen'!$B$14,'Tramos_red'!K12,"")</f>
        <v/>
      </c>
      <c r="I107" s="1">
        <f>IF(E107&gt;'Resumen'!$B$14,'Tramos_red'!L12,"")</f>
        <v/>
      </c>
      <c r="J107" s="6">
        <f>IF(E107&gt;'Resumen'!$B$14,'Tramos_red'!Y12,0)</f>
        <v>0</v>
      </c>
      <c r="K107" s="6">
        <f>IF(E107&gt;'Resumen'!$B$14,'Tramos_red'!V12,0)</f>
        <v>0</v>
      </c>
      <c r="L107" s="1">
        <f>J107*'Entradas'!B13</f>
        <v>0</v>
      </c>
      <c r="M107" s="1">
        <f>K107*'Entradas'!B12</f>
        <v>0</v>
      </c>
      <c r="N107" s="1">
        <f>IF(E107&gt;'Resumen'!$B$14,'Tramos_red'!P12,0)</f>
        <v>0</v>
      </c>
      <c r="O107" s="1">
        <f>IF(E107&gt;'Resumen'!$B$14,'Tramos_red'!Q12,0)</f>
        <v>0</v>
      </c>
      <c r="P107" s="1">
        <f>IF(E107&gt;'Resumen'!$B$14,'Tramos_red'!R12,0)</f>
        <v>0</v>
      </c>
      <c r="Q107" s="1">
        <f>IF(E107&lt;='Resumen'!$B$14,0,IF('Entradas'!$B$5=0,"sin U",IF(P107=0,"infinita",E107/('Entradas'!$B$5*P107))))</f>
        <v>0</v>
      </c>
    </row>
    <row r="108" spans="1:17" ht="21" customHeight="1">
      <c r="A108" s="4" t="s">
        <v>207</v>
      </c>
      <c r="B108" s="1">
        <v>9</v>
      </c>
      <c r="C108" s="4" t="str">
        <f>'Entradas'!A13</f>
        <v>C3</v>
      </c>
      <c r="D108" s="4" t="str">
        <f>'Entradas'!A14</f>
        <v>C4</v>
      </c>
      <c r="E108" s="1">
        <f>'Tramos_red'!M12*'Tramos_red'!V12*'Tramos_red'!AA12</f>
        <v>0.0</v>
      </c>
      <c r="F108" s="1">
        <f>IF(E108&gt;'Resumen'!$B$14,'Tramos_red'!J12,"")</f>
        <v/>
      </c>
      <c r="G108" s="1">
        <f>IF(E108&gt;'Resumen'!$B$14,'Tramos_red'!I12,"")</f>
        <v/>
      </c>
      <c r="H108" s="1">
        <f>IF(E108&gt;'Resumen'!$B$14,'Tramos_red'!K12,"")</f>
        <v/>
      </c>
      <c r="I108" s="1">
        <f>IF(E108&gt;'Resumen'!$B$14,'Tramos_red'!L12,"")</f>
        <v/>
      </c>
      <c r="J108" s="6">
        <f>IF(E108&gt;'Resumen'!$B$14,'Tramos_red'!AA12,0)</f>
        <v>0</v>
      </c>
      <c r="K108" s="6">
        <f>IF(E108&gt;'Resumen'!$B$14,'Tramos_red'!V12,0)</f>
        <v>0</v>
      </c>
      <c r="L108" s="1">
        <f>J108*'Entradas'!B13</f>
        <v>0</v>
      </c>
      <c r="M108" s="1">
        <f>K108*'Entradas'!B14</f>
        <v>0</v>
      </c>
      <c r="N108" s="1">
        <f>IF(E108&gt;'Resumen'!$B$14,'Tramos_red'!P12,0)</f>
        <v>0</v>
      </c>
      <c r="O108" s="1">
        <f>IF(E108&gt;'Resumen'!$B$14,'Tramos_red'!Q12,0)</f>
        <v>0</v>
      </c>
      <c r="P108" s="1">
        <f>IF(E108&gt;'Resumen'!$B$14,'Tramos_red'!R12,0)</f>
        <v>0</v>
      </c>
      <c r="Q108" s="1">
        <f>IF(E108&lt;='Resumen'!$B$14,0,IF('Entradas'!$B$5=0,"sin U",IF(P108=0,"infinita",E108/('Entradas'!$B$5*P108))))</f>
        <v>0</v>
      </c>
    </row>
    <row r="109" spans="1:17" ht="21" customHeight="1">
      <c r="A109" s="4" t="s">
        <v>208</v>
      </c>
      <c r="B109" s="1">
        <v>9</v>
      </c>
      <c r="C109" s="4" t="str">
        <f>'Entradas'!A14</f>
        <v>C4</v>
      </c>
      <c r="D109" s="4" t="str">
        <f>'Entradas'!A11</f>
        <v>H1</v>
      </c>
      <c r="E109" s="1">
        <f>'Tramos_red'!M12*'Tramos_red'!W12*'Tramos_red'!X12</f>
        <v>0.0</v>
      </c>
      <c r="F109" s="1">
        <f>IF(E109&gt;'Resumen'!$B$14,'Tramos_red'!J12,"")</f>
        <v/>
      </c>
      <c r="G109" s="1">
        <f>IF(E109&gt;'Resumen'!$B$14,'Tramos_red'!I12,"")</f>
        <v/>
      </c>
      <c r="H109" s="1">
        <f>IF(E109&gt;'Resumen'!$B$14,'Tramos_red'!K12,"")</f>
        <v/>
      </c>
      <c r="I109" s="1">
        <f>IF(E109&gt;'Resumen'!$B$14,'Tramos_red'!L12,"")</f>
        <v/>
      </c>
      <c r="J109" s="6">
        <f>IF(E109&gt;'Resumen'!$B$14,'Tramos_red'!X12,0)</f>
        <v>0</v>
      </c>
      <c r="K109" s="6">
        <f>IF(E109&gt;'Resumen'!$B$14,'Tramos_red'!W12,0)</f>
        <v>0</v>
      </c>
      <c r="L109" s="1">
        <f>J109*'Entradas'!B14</f>
        <v>0</v>
      </c>
      <c r="M109" s="1">
        <f>K109*'Entradas'!B11</f>
        <v>0</v>
      </c>
      <c r="N109" s="1">
        <f>IF(E109&gt;'Resumen'!$B$14,'Tramos_red'!P12,0)</f>
        <v>0</v>
      </c>
      <c r="O109" s="1">
        <f>IF(E109&gt;'Resumen'!$B$14,'Tramos_red'!Q12,0)</f>
        <v>0</v>
      </c>
      <c r="P109" s="1">
        <f>IF(E109&gt;'Resumen'!$B$14,'Tramos_red'!R12,0)</f>
        <v>0</v>
      </c>
      <c r="Q109" s="1">
        <f>IF(E109&lt;='Resumen'!$B$14,0,IF('Entradas'!$B$5=0,"sin U",IF(P109=0,"infinita",E109/('Entradas'!$B$5*P109))))</f>
        <v>0</v>
      </c>
    </row>
    <row r="110" spans="1:17" ht="21" customHeight="1">
      <c r="A110" s="4" t="s">
        <v>209</v>
      </c>
      <c r="B110" s="1">
        <v>9</v>
      </c>
      <c r="C110" s="4" t="str">
        <f>'Entradas'!A14</f>
        <v>C4</v>
      </c>
      <c r="D110" s="4" t="str">
        <f>'Entradas'!A12</f>
        <v>H2</v>
      </c>
      <c r="E110" s="1">
        <f>'Tramos_red'!M12*'Tramos_red'!W12*'Tramos_red'!Y12</f>
        <v>0.0</v>
      </c>
      <c r="F110" s="1">
        <f>IF(E110&gt;'Resumen'!$B$14,'Tramos_red'!J12,"")</f>
        <v/>
      </c>
      <c r="G110" s="1">
        <f>IF(E110&gt;'Resumen'!$B$14,'Tramos_red'!I12,"")</f>
        <v/>
      </c>
      <c r="H110" s="1">
        <f>IF(E110&gt;'Resumen'!$B$14,'Tramos_red'!K12,"")</f>
        <v/>
      </c>
      <c r="I110" s="1">
        <f>IF(E110&gt;'Resumen'!$B$14,'Tramos_red'!L12,"")</f>
        <v/>
      </c>
      <c r="J110" s="6">
        <f>IF(E110&gt;'Resumen'!$B$14,'Tramos_red'!Y12,0)</f>
        <v>0</v>
      </c>
      <c r="K110" s="6">
        <f>IF(E110&gt;'Resumen'!$B$14,'Tramos_red'!W12,0)</f>
        <v>0</v>
      </c>
      <c r="L110" s="1">
        <f>J110*'Entradas'!B14</f>
        <v>0</v>
      </c>
      <c r="M110" s="1">
        <f>K110*'Entradas'!B12</f>
        <v>0</v>
      </c>
      <c r="N110" s="1">
        <f>IF(E110&gt;'Resumen'!$B$14,'Tramos_red'!P12,0)</f>
        <v>0</v>
      </c>
      <c r="O110" s="1">
        <f>IF(E110&gt;'Resumen'!$B$14,'Tramos_red'!Q12,0)</f>
        <v>0</v>
      </c>
      <c r="P110" s="1">
        <f>IF(E110&gt;'Resumen'!$B$14,'Tramos_red'!R12,0)</f>
        <v>0</v>
      </c>
      <c r="Q110" s="1">
        <f>IF(E110&lt;='Resumen'!$B$14,0,IF('Entradas'!$B$5=0,"sin U",IF(P110=0,"infinita",E110/('Entradas'!$B$5*P110))))</f>
        <v>0</v>
      </c>
    </row>
    <row r="111" spans="1:17" ht="21" customHeight="1">
      <c r="A111" s="4" t="s">
        <v>210</v>
      </c>
      <c r="B111" s="1">
        <v>9</v>
      </c>
      <c r="C111" s="4" t="str">
        <f>'Entradas'!A14</f>
        <v>C4</v>
      </c>
      <c r="D111" s="4" t="str">
        <f>'Entradas'!A13</f>
        <v>C3</v>
      </c>
      <c r="E111" s="1">
        <f>'Tramos_red'!M12*'Tramos_red'!W12*'Tramos_red'!Z12</f>
        <v>0.0</v>
      </c>
      <c r="F111" s="1">
        <f>IF(E111&gt;'Resumen'!$B$14,'Tramos_red'!J12,"")</f>
        <v/>
      </c>
      <c r="G111" s="1">
        <f>IF(E111&gt;'Resumen'!$B$14,'Tramos_red'!I12,"")</f>
        <v/>
      </c>
      <c r="H111" s="1">
        <f>IF(E111&gt;'Resumen'!$B$14,'Tramos_red'!K12,"")</f>
        <v/>
      </c>
      <c r="I111" s="1">
        <f>IF(E111&gt;'Resumen'!$B$14,'Tramos_red'!L12,"")</f>
        <v/>
      </c>
      <c r="J111" s="6">
        <f>IF(E111&gt;'Resumen'!$B$14,'Tramos_red'!Z12,0)</f>
        <v>0</v>
      </c>
      <c r="K111" s="6">
        <f>IF(E111&gt;'Resumen'!$B$14,'Tramos_red'!W12,0)</f>
        <v>0</v>
      </c>
      <c r="L111" s="1">
        <f>J111*'Entradas'!B14</f>
        <v>0</v>
      </c>
      <c r="M111" s="1">
        <f>K111*'Entradas'!B13</f>
        <v>0</v>
      </c>
      <c r="N111" s="1">
        <f>IF(E111&gt;'Resumen'!$B$14,'Tramos_red'!P12,0)</f>
        <v>0</v>
      </c>
      <c r="O111" s="1">
        <f>IF(E111&gt;'Resumen'!$B$14,'Tramos_red'!Q12,0)</f>
        <v>0</v>
      </c>
      <c r="P111" s="1">
        <f>IF(E111&gt;'Resumen'!$B$14,'Tramos_red'!R12,0)</f>
        <v>0</v>
      </c>
      <c r="Q111" s="1">
        <f>IF(E111&lt;='Resumen'!$B$14,0,IF('Entradas'!$B$5=0,"sin U",IF(P111=0,"infinita",E111/('Entradas'!$B$5*P111))))</f>
        <v>0</v>
      </c>
    </row>
    <row r="112" spans="1:17" ht="21" customHeight="1">
      <c r="A112" s="4" t="s">
        <v>211</v>
      </c>
      <c r="B112" s="1">
        <v>10</v>
      </c>
      <c r="C112" s="4" t="str">
        <f>'Entradas'!A11</f>
        <v>H1</v>
      </c>
      <c r="D112" s="4" t="str">
        <f>'Entradas'!A12</f>
        <v>H2</v>
      </c>
      <c r="E112" s="1">
        <f>'Tramos_red'!M13*'Tramos_red'!T13*'Tramos_red'!Y13</f>
        <v>0.0</v>
      </c>
      <c r="F112" s="1">
        <f>IF(E112&gt;'Resumen'!$B$14,'Tramos_red'!J13,"")</f>
        <v/>
      </c>
      <c r="G112" s="1">
        <f>IF(E112&gt;'Resumen'!$B$14,'Tramos_red'!I13,"")</f>
        <v/>
      </c>
      <c r="H112" s="1">
        <f>IF(E112&gt;'Resumen'!$B$14,'Tramos_red'!K13,"")</f>
        <v/>
      </c>
      <c r="I112" s="1">
        <f>IF(E112&gt;'Resumen'!$B$14,'Tramos_red'!L13,"")</f>
        <v/>
      </c>
      <c r="J112" s="6">
        <f>IF(E112&gt;'Resumen'!$B$14,'Tramos_red'!Y13,0)</f>
        <v>0</v>
      </c>
      <c r="K112" s="6">
        <f>IF(E112&gt;'Resumen'!$B$14,'Tramos_red'!T13,0)</f>
        <v>0</v>
      </c>
      <c r="L112" s="1">
        <f>J112*'Entradas'!B11</f>
        <v>0</v>
      </c>
      <c r="M112" s="1">
        <f>K112*'Entradas'!B12</f>
        <v>0</v>
      </c>
      <c r="N112" s="1">
        <f>IF(E112&gt;'Resumen'!$B$14,'Tramos_red'!P13,0)</f>
        <v>0</v>
      </c>
      <c r="O112" s="1">
        <f>IF(E112&gt;'Resumen'!$B$14,'Tramos_red'!Q13,0)</f>
        <v>0</v>
      </c>
      <c r="P112" s="1">
        <f>IF(E112&gt;'Resumen'!$B$14,'Tramos_red'!R13,0)</f>
        <v>0</v>
      </c>
      <c r="Q112" s="1">
        <f>IF(E112&lt;='Resumen'!$B$14,0,IF('Entradas'!$B$5=0,"sin U",IF(P112=0,"infinita",E112/('Entradas'!$B$5*P112))))</f>
        <v>0</v>
      </c>
    </row>
    <row r="113" spans="1:17" ht="21" customHeight="1">
      <c r="A113" s="4" t="s">
        <v>212</v>
      </c>
      <c r="B113" s="1">
        <v>10</v>
      </c>
      <c r="C113" s="4" t="str">
        <f>'Entradas'!A11</f>
        <v>H1</v>
      </c>
      <c r="D113" s="4" t="str">
        <f>'Entradas'!A13</f>
        <v>C3</v>
      </c>
      <c r="E113" s="1">
        <f>'Tramos_red'!M13*'Tramos_red'!T13*'Tramos_red'!Z13</f>
        <v>0.0</v>
      </c>
      <c r="F113" s="1">
        <f>IF(E113&gt;'Resumen'!$B$14,'Tramos_red'!J13,"")</f>
        <v/>
      </c>
      <c r="G113" s="1">
        <f>IF(E113&gt;'Resumen'!$B$14,'Tramos_red'!I13,"")</f>
        <v/>
      </c>
      <c r="H113" s="1">
        <f>IF(E113&gt;'Resumen'!$B$14,'Tramos_red'!K13,"")</f>
        <v/>
      </c>
      <c r="I113" s="1">
        <f>IF(E113&gt;'Resumen'!$B$14,'Tramos_red'!L13,"")</f>
        <v/>
      </c>
      <c r="J113" s="6">
        <f>IF(E113&gt;'Resumen'!$B$14,'Tramos_red'!Z13,0)</f>
        <v>0</v>
      </c>
      <c r="K113" s="6">
        <f>IF(E113&gt;'Resumen'!$B$14,'Tramos_red'!T13,0)</f>
        <v>0</v>
      </c>
      <c r="L113" s="1">
        <f>J113*'Entradas'!B11</f>
        <v>0</v>
      </c>
      <c r="M113" s="1">
        <f>K113*'Entradas'!B13</f>
        <v>0</v>
      </c>
      <c r="N113" s="1">
        <f>IF(E113&gt;'Resumen'!$B$14,'Tramos_red'!P13,0)</f>
        <v>0</v>
      </c>
      <c r="O113" s="1">
        <f>IF(E113&gt;'Resumen'!$B$14,'Tramos_red'!Q13,0)</f>
        <v>0</v>
      </c>
      <c r="P113" s="1">
        <f>IF(E113&gt;'Resumen'!$B$14,'Tramos_red'!R13,0)</f>
        <v>0</v>
      </c>
      <c r="Q113" s="1">
        <f>IF(E113&lt;='Resumen'!$B$14,0,IF('Entradas'!$B$5=0,"sin U",IF(P113=0,"infinita",E113/('Entradas'!$B$5*P113))))</f>
        <v>0</v>
      </c>
    </row>
    <row r="114" spans="1:17" ht="21" customHeight="1">
      <c r="A114" s="4" t="s">
        <v>213</v>
      </c>
      <c r="B114" s="1">
        <v>10</v>
      </c>
      <c r="C114" s="4" t="str">
        <f>'Entradas'!A11</f>
        <v>H1</v>
      </c>
      <c r="D114" s="4" t="str">
        <f>'Entradas'!A14</f>
        <v>C4</v>
      </c>
      <c r="E114" s="1">
        <f>'Tramos_red'!M13*'Tramos_red'!T13*'Tramos_red'!AA13</f>
        <v>14000.0</v>
      </c>
      <c r="F114" s="1">
        <f>IF(E114&gt;'Resumen'!$B$14,'Tramos_red'!J13,"")</f>
        <v>190.0</v>
      </c>
      <c r="G114" s="1">
        <f>IF(E114&gt;'Resumen'!$B$14,'Tramos_red'!I13,"")</f>
        <v>176.0</v>
      </c>
      <c r="H114" s="1">
        <f>IF(E114&gt;'Resumen'!$B$14,'Tramos_red'!K13,"")</f>
        <v>150.0</v>
      </c>
      <c r="I114" s="1">
        <f>IF(E114&gt;'Resumen'!$B$14,'Tramos_red'!L13,"")</f>
        <v>161.66666666666666</v>
      </c>
      <c r="J114" s="6">
        <f>IF(E114&gt;'Resumen'!$B$14,'Tramos_red'!AA13,0)</f>
        <v>1.0</v>
      </c>
      <c r="K114" s="6">
        <f>IF(E114&gt;'Resumen'!$B$14,'Tramos_red'!T13,0)</f>
        <v>0.2</v>
      </c>
      <c r="L114" s="1">
        <f>J114*'Entradas'!B11</f>
        <v>1000.0</v>
      </c>
      <c r="M114" s="1">
        <f>K114*'Entradas'!B14</f>
        <v>1200.0</v>
      </c>
      <c r="N114" s="1">
        <f>IF(E114&gt;'Resumen'!$B$14,'Tramos_red'!P13,0)</f>
        <v>28.333333333333343</v>
      </c>
      <c r="O114" s="1">
        <f>IF(E114&gt;'Resumen'!$B$14,'Tramos_red'!Q13,0)</f>
        <v>26.0</v>
      </c>
      <c r="P114" s="1">
        <f>IF(E114&gt;'Resumen'!$B$14,'Tramos_red'!R13,0)</f>
        <v>27.14995769544391</v>
      </c>
      <c r="Q114" s="1" t="str">
        <f>IF(E114&lt;='Resumen'!$B$14,0,IF('Entradas'!$B$5=0,"sin U",IF(P114=0,"infinita",E114/('Entradas'!$B$5*P114))))</f>
        <v>sin U</v>
      </c>
    </row>
    <row r="115" spans="1:17" ht="21" customHeight="1">
      <c r="A115" s="4" t="s">
        <v>214</v>
      </c>
      <c r="B115" s="1">
        <v>10</v>
      </c>
      <c r="C115" s="4" t="str">
        <f>'Entradas'!A12</f>
        <v>H2</v>
      </c>
      <c r="D115" s="4" t="str">
        <f>'Entradas'!A11</f>
        <v>H1</v>
      </c>
      <c r="E115" s="1">
        <f>'Tramos_red'!M13*'Tramos_red'!U13*'Tramos_red'!X13</f>
        <v>0.0</v>
      </c>
      <c r="F115" s="1">
        <f>IF(E115&gt;'Resumen'!$B$14,'Tramos_red'!J13,"")</f>
        <v/>
      </c>
      <c r="G115" s="1">
        <f>IF(E115&gt;'Resumen'!$B$14,'Tramos_red'!I13,"")</f>
        <v/>
      </c>
      <c r="H115" s="1">
        <f>IF(E115&gt;'Resumen'!$B$14,'Tramos_red'!K13,"")</f>
        <v/>
      </c>
      <c r="I115" s="1">
        <f>IF(E115&gt;'Resumen'!$B$14,'Tramos_red'!L13,"")</f>
        <v/>
      </c>
      <c r="J115" s="6">
        <f>IF(E115&gt;'Resumen'!$B$14,'Tramos_red'!X13,0)</f>
        <v>0</v>
      </c>
      <c r="K115" s="6">
        <f>IF(E115&gt;'Resumen'!$B$14,'Tramos_red'!U13,0)</f>
        <v>0</v>
      </c>
      <c r="L115" s="1">
        <f>J115*'Entradas'!B12</f>
        <v>0</v>
      </c>
      <c r="M115" s="1">
        <f>K115*'Entradas'!B11</f>
        <v>0</v>
      </c>
      <c r="N115" s="1">
        <f>IF(E115&gt;'Resumen'!$B$14,'Tramos_red'!P13,0)</f>
        <v>0</v>
      </c>
      <c r="O115" s="1">
        <f>IF(E115&gt;'Resumen'!$B$14,'Tramos_red'!Q13,0)</f>
        <v>0</v>
      </c>
      <c r="P115" s="1">
        <f>IF(E115&gt;'Resumen'!$B$14,'Tramos_red'!R13,0)</f>
        <v>0</v>
      </c>
      <c r="Q115" s="1">
        <f>IF(E115&lt;='Resumen'!$B$14,0,IF('Entradas'!$B$5=0,"sin U",IF(P115=0,"infinita",E115/('Entradas'!$B$5*P115))))</f>
        <v>0</v>
      </c>
    </row>
    <row r="116" spans="1:17" ht="21" customHeight="1">
      <c r="A116" s="4" t="s">
        <v>215</v>
      </c>
      <c r="B116" s="1">
        <v>10</v>
      </c>
      <c r="C116" s="4" t="str">
        <f>'Entradas'!A12</f>
        <v>H2</v>
      </c>
      <c r="D116" s="4" t="str">
        <f>'Entradas'!A13</f>
        <v>C3</v>
      </c>
      <c r="E116" s="1">
        <f>'Tramos_red'!M13*'Tramos_red'!U13*'Tramos_red'!Z13</f>
        <v>0.0</v>
      </c>
      <c r="F116" s="1">
        <f>IF(E116&gt;'Resumen'!$B$14,'Tramos_red'!J13,"")</f>
        <v/>
      </c>
      <c r="G116" s="1">
        <f>IF(E116&gt;'Resumen'!$B$14,'Tramos_red'!I13,"")</f>
        <v/>
      </c>
      <c r="H116" s="1">
        <f>IF(E116&gt;'Resumen'!$B$14,'Tramos_red'!K13,"")</f>
        <v/>
      </c>
      <c r="I116" s="1">
        <f>IF(E116&gt;'Resumen'!$B$14,'Tramos_red'!L13,"")</f>
        <v/>
      </c>
      <c r="J116" s="6">
        <f>IF(E116&gt;'Resumen'!$B$14,'Tramos_red'!Z13,0)</f>
        <v>0</v>
      </c>
      <c r="K116" s="6">
        <f>IF(E116&gt;'Resumen'!$B$14,'Tramos_red'!U13,0)</f>
        <v>0</v>
      </c>
      <c r="L116" s="1">
        <f>J116*'Entradas'!B12</f>
        <v>0</v>
      </c>
      <c r="M116" s="1">
        <f>K116*'Entradas'!B13</f>
        <v>0</v>
      </c>
      <c r="N116" s="1">
        <f>IF(E116&gt;'Resumen'!$B$14,'Tramos_red'!P13,0)</f>
        <v>0</v>
      </c>
      <c r="O116" s="1">
        <f>IF(E116&gt;'Resumen'!$B$14,'Tramos_red'!Q13,0)</f>
        <v>0</v>
      </c>
      <c r="P116" s="1">
        <f>IF(E116&gt;'Resumen'!$B$14,'Tramos_red'!R13,0)</f>
        <v>0</v>
      </c>
      <c r="Q116" s="1">
        <f>IF(E116&lt;='Resumen'!$B$14,0,IF('Entradas'!$B$5=0,"sin U",IF(P116=0,"infinita",E116/('Entradas'!$B$5*P116))))</f>
        <v>0</v>
      </c>
    </row>
    <row r="117" spans="1:17" ht="21" customHeight="1">
      <c r="A117" s="4" t="s">
        <v>216</v>
      </c>
      <c r="B117" s="1">
        <v>10</v>
      </c>
      <c r="C117" s="4" t="str">
        <f>'Entradas'!A12</f>
        <v>H2</v>
      </c>
      <c r="D117" s="4" t="str">
        <f>'Entradas'!A14</f>
        <v>C4</v>
      </c>
      <c r="E117" s="1">
        <f>'Tramos_red'!M13*'Tramos_red'!U13*'Tramos_red'!AA13</f>
        <v>56000.0</v>
      </c>
      <c r="F117" s="1">
        <f>IF(E117&gt;'Resumen'!$B$14,'Tramos_red'!J13,"")</f>
        <v>190.0</v>
      </c>
      <c r="G117" s="1">
        <f>IF(E117&gt;'Resumen'!$B$14,'Tramos_red'!I13,"")</f>
        <v>176.0</v>
      </c>
      <c r="H117" s="1">
        <f>IF(E117&gt;'Resumen'!$B$14,'Tramos_red'!K13,"")</f>
        <v>150.0</v>
      </c>
      <c r="I117" s="1">
        <f>IF(E117&gt;'Resumen'!$B$14,'Tramos_red'!L13,"")</f>
        <v>161.66666666666666</v>
      </c>
      <c r="J117" s="6">
        <f>IF(E117&gt;'Resumen'!$B$14,'Tramos_red'!AA13,0)</f>
        <v>1.0</v>
      </c>
      <c r="K117" s="6">
        <f>IF(E117&gt;'Resumen'!$B$14,'Tramos_red'!U13,0)</f>
        <v>0.8</v>
      </c>
      <c r="L117" s="1">
        <f>J117*'Entradas'!B12</f>
        <v>4000.0</v>
      </c>
      <c r="M117" s="1">
        <f>K117*'Entradas'!B14</f>
        <v>4800.0</v>
      </c>
      <c r="N117" s="1">
        <f>IF(E117&gt;'Resumen'!$B$14,'Tramos_red'!P13,0)</f>
        <v>28.333333333333343</v>
      </c>
      <c r="O117" s="1">
        <f>IF(E117&gt;'Resumen'!$B$14,'Tramos_red'!Q13,0)</f>
        <v>26.0</v>
      </c>
      <c r="P117" s="1">
        <f>IF(E117&gt;'Resumen'!$B$14,'Tramos_red'!R13,0)</f>
        <v>27.14995769544391</v>
      </c>
      <c r="Q117" s="1" t="str">
        <f>IF(E117&lt;='Resumen'!$B$14,0,IF('Entradas'!$B$5=0,"sin U",IF(P117=0,"infinita",E117/('Entradas'!$B$5*P117))))</f>
        <v>sin U</v>
      </c>
    </row>
    <row r="118" spans="1:17" ht="21" customHeight="1">
      <c r="A118" s="4" t="s">
        <v>217</v>
      </c>
      <c r="B118" s="1">
        <v>10</v>
      </c>
      <c r="C118" s="4" t="str">
        <f>'Entradas'!A13</f>
        <v>C3</v>
      </c>
      <c r="D118" s="4" t="str">
        <f>'Entradas'!A11</f>
        <v>H1</v>
      </c>
      <c r="E118" s="1">
        <f>'Tramos_red'!M13*'Tramos_red'!V13*'Tramos_red'!X13</f>
        <v>0.0</v>
      </c>
      <c r="F118" s="1">
        <f>IF(E118&gt;'Resumen'!$B$14,'Tramos_red'!J13,"")</f>
        <v/>
      </c>
      <c r="G118" s="1">
        <f>IF(E118&gt;'Resumen'!$B$14,'Tramos_red'!I13,"")</f>
        <v/>
      </c>
      <c r="H118" s="1">
        <f>IF(E118&gt;'Resumen'!$B$14,'Tramos_red'!K13,"")</f>
        <v/>
      </c>
      <c r="I118" s="1">
        <f>IF(E118&gt;'Resumen'!$B$14,'Tramos_red'!L13,"")</f>
        <v/>
      </c>
      <c r="J118" s="6">
        <f>IF(E118&gt;'Resumen'!$B$14,'Tramos_red'!X13,0)</f>
        <v>0</v>
      </c>
      <c r="K118" s="6">
        <f>IF(E118&gt;'Resumen'!$B$14,'Tramos_red'!V13,0)</f>
        <v>0</v>
      </c>
      <c r="L118" s="1">
        <f>J118*'Entradas'!B13</f>
        <v>0</v>
      </c>
      <c r="M118" s="1">
        <f>K118*'Entradas'!B11</f>
        <v>0</v>
      </c>
      <c r="N118" s="1">
        <f>IF(E118&gt;'Resumen'!$B$14,'Tramos_red'!P13,0)</f>
        <v>0</v>
      </c>
      <c r="O118" s="1">
        <f>IF(E118&gt;'Resumen'!$B$14,'Tramos_red'!Q13,0)</f>
        <v>0</v>
      </c>
      <c r="P118" s="1">
        <f>IF(E118&gt;'Resumen'!$B$14,'Tramos_red'!R13,0)</f>
        <v>0</v>
      </c>
      <c r="Q118" s="1">
        <f>IF(E118&lt;='Resumen'!$B$14,0,IF('Entradas'!$B$5=0,"sin U",IF(P118=0,"infinita",E118/('Entradas'!$B$5*P118))))</f>
        <v>0</v>
      </c>
    </row>
    <row r="119" spans="1:17" ht="21" customHeight="1">
      <c r="A119" s="4" t="s">
        <v>218</v>
      </c>
      <c r="B119" s="1">
        <v>10</v>
      </c>
      <c r="C119" s="4" t="str">
        <f>'Entradas'!A13</f>
        <v>C3</v>
      </c>
      <c r="D119" s="4" t="str">
        <f>'Entradas'!A12</f>
        <v>H2</v>
      </c>
      <c r="E119" s="1">
        <f>'Tramos_red'!M13*'Tramos_red'!V13*'Tramos_red'!Y13</f>
        <v>0.0</v>
      </c>
      <c r="F119" s="1">
        <f>IF(E119&gt;'Resumen'!$B$14,'Tramos_red'!J13,"")</f>
        <v/>
      </c>
      <c r="G119" s="1">
        <f>IF(E119&gt;'Resumen'!$B$14,'Tramos_red'!I13,"")</f>
        <v/>
      </c>
      <c r="H119" s="1">
        <f>IF(E119&gt;'Resumen'!$B$14,'Tramos_red'!K13,"")</f>
        <v/>
      </c>
      <c r="I119" s="1">
        <f>IF(E119&gt;'Resumen'!$B$14,'Tramos_red'!L13,"")</f>
        <v/>
      </c>
      <c r="J119" s="6">
        <f>IF(E119&gt;'Resumen'!$B$14,'Tramos_red'!Y13,0)</f>
        <v>0</v>
      </c>
      <c r="K119" s="6">
        <f>IF(E119&gt;'Resumen'!$B$14,'Tramos_red'!V13,0)</f>
        <v>0</v>
      </c>
      <c r="L119" s="1">
        <f>J119*'Entradas'!B13</f>
        <v>0</v>
      </c>
      <c r="M119" s="1">
        <f>K119*'Entradas'!B12</f>
        <v>0</v>
      </c>
      <c r="N119" s="1">
        <f>IF(E119&gt;'Resumen'!$B$14,'Tramos_red'!P13,0)</f>
        <v>0</v>
      </c>
      <c r="O119" s="1">
        <f>IF(E119&gt;'Resumen'!$B$14,'Tramos_red'!Q13,0)</f>
        <v>0</v>
      </c>
      <c r="P119" s="1">
        <f>IF(E119&gt;'Resumen'!$B$14,'Tramos_red'!R13,0)</f>
        <v>0</v>
      </c>
      <c r="Q119" s="1">
        <f>IF(E119&lt;='Resumen'!$B$14,0,IF('Entradas'!$B$5=0,"sin U",IF(P119=0,"infinita",E119/('Entradas'!$B$5*P119))))</f>
        <v>0</v>
      </c>
    </row>
    <row r="120" spans="1:17" ht="21" customHeight="1">
      <c r="A120" s="4" t="s">
        <v>219</v>
      </c>
      <c r="B120" s="1">
        <v>10</v>
      </c>
      <c r="C120" s="4" t="str">
        <f>'Entradas'!A13</f>
        <v>C3</v>
      </c>
      <c r="D120" s="4" t="str">
        <f>'Entradas'!A14</f>
        <v>C4</v>
      </c>
      <c r="E120" s="1">
        <f>'Tramos_red'!M13*'Tramos_red'!V13*'Tramos_red'!AA13</f>
        <v>0.0</v>
      </c>
      <c r="F120" s="1">
        <f>IF(E120&gt;'Resumen'!$B$14,'Tramos_red'!J13,"")</f>
        <v/>
      </c>
      <c r="G120" s="1">
        <f>IF(E120&gt;'Resumen'!$B$14,'Tramos_red'!I13,"")</f>
        <v/>
      </c>
      <c r="H120" s="1">
        <f>IF(E120&gt;'Resumen'!$B$14,'Tramos_red'!K13,"")</f>
        <v/>
      </c>
      <c r="I120" s="1">
        <f>IF(E120&gt;'Resumen'!$B$14,'Tramos_red'!L13,"")</f>
        <v/>
      </c>
      <c r="J120" s="6">
        <f>IF(E120&gt;'Resumen'!$B$14,'Tramos_red'!AA13,0)</f>
        <v>0</v>
      </c>
      <c r="K120" s="6">
        <f>IF(E120&gt;'Resumen'!$B$14,'Tramos_red'!V13,0)</f>
        <v>0</v>
      </c>
      <c r="L120" s="1">
        <f>J120*'Entradas'!B13</f>
        <v>0</v>
      </c>
      <c r="M120" s="1">
        <f>K120*'Entradas'!B14</f>
        <v>0</v>
      </c>
      <c r="N120" s="1">
        <f>IF(E120&gt;'Resumen'!$B$14,'Tramos_red'!P13,0)</f>
        <v>0</v>
      </c>
      <c r="O120" s="1">
        <f>IF(E120&gt;'Resumen'!$B$14,'Tramos_red'!Q13,0)</f>
        <v>0</v>
      </c>
      <c r="P120" s="1">
        <f>IF(E120&gt;'Resumen'!$B$14,'Tramos_red'!R13,0)</f>
        <v>0</v>
      </c>
      <c r="Q120" s="1">
        <f>IF(E120&lt;='Resumen'!$B$14,0,IF('Entradas'!$B$5=0,"sin U",IF(P120=0,"infinita",E120/('Entradas'!$B$5*P120))))</f>
        <v>0</v>
      </c>
    </row>
    <row r="121" spans="1:17" ht="21" customHeight="1">
      <c r="A121" s="4" t="s">
        <v>220</v>
      </c>
      <c r="B121" s="1">
        <v>10</v>
      </c>
      <c r="C121" s="4" t="str">
        <f>'Entradas'!A14</f>
        <v>C4</v>
      </c>
      <c r="D121" s="4" t="str">
        <f>'Entradas'!A11</f>
        <v>H1</v>
      </c>
      <c r="E121" s="1">
        <f>'Tramos_red'!M13*'Tramos_red'!W13*'Tramos_red'!X13</f>
        <v>0.0</v>
      </c>
      <c r="F121" s="1">
        <f>IF(E121&gt;'Resumen'!$B$14,'Tramos_red'!J13,"")</f>
        <v/>
      </c>
      <c r="G121" s="1">
        <f>IF(E121&gt;'Resumen'!$B$14,'Tramos_red'!I13,"")</f>
        <v/>
      </c>
      <c r="H121" s="1">
        <f>IF(E121&gt;'Resumen'!$B$14,'Tramos_red'!K13,"")</f>
        <v/>
      </c>
      <c r="I121" s="1">
        <f>IF(E121&gt;'Resumen'!$B$14,'Tramos_red'!L13,"")</f>
        <v/>
      </c>
      <c r="J121" s="6">
        <f>IF(E121&gt;'Resumen'!$B$14,'Tramos_red'!X13,0)</f>
        <v>0</v>
      </c>
      <c r="K121" s="6">
        <f>IF(E121&gt;'Resumen'!$B$14,'Tramos_red'!W13,0)</f>
        <v>0</v>
      </c>
      <c r="L121" s="1">
        <f>J121*'Entradas'!B14</f>
        <v>0</v>
      </c>
      <c r="M121" s="1">
        <f>K121*'Entradas'!B11</f>
        <v>0</v>
      </c>
      <c r="N121" s="1">
        <f>IF(E121&gt;'Resumen'!$B$14,'Tramos_red'!P13,0)</f>
        <v>0</v>
      </c>
      <c r="O121" s="1">
        <f>IF(E121&gt;'Resumen'!$B$14,'Tramos_red'!Q13,0)</f>
        <v>0</v>
      </c>
      <c r="P121" s="1">
        <f>IF(E121&gt;'Resumen'!$B$14,'Tramos_red'!R13,0)</f>
        <v>0</v>
      </c>
      <c r="Q121" s="1">
        <f>IF(E121&lt;='Resumen'!$B$14,0,IF('Entradas'!$B$5=0,"sin U",IF(P121=0,"infinita",E121/('Entradas'!$B$5*P121))))</f>
        <v>0</v>
      </c>
    </row>
    <row r="122" spans="1:17" ht="21" customHeight="1">
      <c r="A122" s="4" t="s">
        <v>221</v>
      </c>
      <c r="B122" s="1">
        <v>10</v>
      </c>
      <c r="C122" s="4" t="str">
        <f>'Entradas'!A14</f>
        <v>C4</v>
      </c>
      <c r="D122" s="4" t="str">
        <f>'Entradas'!A12</f>
        <v>H2</v>
      </c>
      <c r="E122" s="1">
        <f>'Tramos_red'!M13*'Tramos_red'!W13*'Tramos_red'!Y13</f>
        <v>0.0</v>
      </c>
      <c r="F122" s="1">
        <f>IF(E122&gt;'Resumen'!$B$14,'Tramos_red'!J13,"")</f>
        <v/>
      </c>
      <c r="G122" s="1">
        <f>IF(E122&gt;'Resumen'!$B$14,'Tramos_red'!I13,"")</f>
        <v/>
      </c>
      <c r="H122" s="1">
        <f>IF(E122&gt;'Resumen'!$B$14,'Tramos_red'!K13,"")</f>
        <v/>
      </c>
      <c r="I122" s="1">
        <f>IF(E122&gt;'Resumen'!$B$14,'Tramos_red'!L13,"")</f>
        <v/>
      </c>
      <c r="J122" s="6">
        <f>IF(E122&gt;'Resumen'!$B$14,'Tramos_red'!Y13,0)</f>
        <v>0</v>
      </c>
      <c r="K122" s="6">
        <f>IF(E122&gt;'Resumen'!$B$14,'Tramos_red'!W13,0)</f>
        <v>0</v>
      </c>
      <c r="L122" s="1">
        <f>J122*'Entradas'!B14</f>
        <v>0</v>
      </c>
      <c r="M122" s="1">
        <f>K122*'Entradas'!B12</f>
        <v>0</v>
      </c>
      <c r="N122" s="1">
        <f>IF(E122&gt;'Resumen'!$B$14,'Tramos_red'!P13,0)</f>
        <v>0</v>
      </c>
      <c r="O122" s="1">
        <f>IF(E122&gt;'Resumen'!$B$14,'Tramos_red'!Q13,0)</f>
        <v>0</v>
      </c>
      <c r="P122" s="1">
        <f>IF(E122&gt;'Resumen'!$B$14,'Tramos_red'!R13,0)</f>
        <v>0</v>
      </c>
      <c r="Q122" s="1">
        <f>IF(E122&lt;='Resumen'!$B$14,0,IF('Entradas'!$B$5=0,"sin U",IF(P122=0,"infinita",E122/('Entradas'!$B$5*P122))))</f>
        <v>0</v>
      </c>
    </row>
    <row r="123" spans="1:17" ht="21" customHeight="1">
      <c r="A123" s="4" t="s">
        <v>222</v>
      </c>
      <c r="B123" s="1">
        <v>10</v>
      </c>
      <c r="C123" s="4" t="str">
        <f>'Entradas'!A14</f>
        <v>C4</v>
      </c>
      <c r="D123" s="4" t="str">
        <f>'Entradas'!A13</f>
        <v>C3</v>
      </c>
      <c r="E123" s="1">
        <f>'Tramos_red'!M13*'Tramos_red'!W13*'Tramos_red'!Z13</f>
        <v>0.0</v>
      </c>
      <c r="F123" s="1">
        <f>IF(E123&gt;'Resumen'!$B$14,'Tramos_red'!J13,"")</f>
        <v/>
      </c>
      <c r="G123" s="1">
        <f>IF(E123&gt;'Resumen'!$B$14,'Tramos_red'!I13,"")</f>
        <v/>
      </c>
      <c r="H123" s="1">
        <f>IF(E123&gt;'Resumen'!$B$14,'Tramos_red'!K13,"")</f>
        <v/>
      </c>
      <c r="I123" s="1">
        <f>IF(E123&gt;'Resumen'!$B$14,'Tramos_red'!L13,"")</f>
        <v/>
      </c>
      <c r="J123" s="6">
        <f>IF(E123&gt;'Resumen'!$B$14,'Tramos_red'!Z13,0)</f>
        <v>0</v>
      </c>
      <c r="K123" s="6">
        <f>IF(E123&gt;'Resumen'!$B$14,'Tramos_red'!W13,0)</f>
        <v>0</v>
      </c>
      <c r="L123" s="1">
        <f>J123*'Entradas'!B14</f>
        <v>0</v>
      </c>
      <c r="M123" s="1">
        <f>K123*'Entradas'!B13</f>
        <v>0</v>
      </c>
      <c r="N123" s="1">
        <f>IF(E123&gt;'Resumen'!$B$14,'Tramos_red'!P13,0)</f>
        <v>0</v>
      </c>
      <c r="O123" s="1">
        <f>IF(E123&gt;'Resumen'!$B$14,'Tramos_red'!Q13,0)</f>
        <v>0</v>
      </c>
      <c r="P123" s="1">
        <f>IF(E123&gt;'Resumen'!$B$14,'Tramos_red'!R13,0)</f>
        <v>0</v>
      </c>
      <c r="Q123" s="1">
        <f>IF(E123&lt;='Resumen'!$B$14,0,IF('Entradas'!$B$5=0,"sin U",IF(P123=0,"infinita",E123/('Entradas'!$B$5*P123))))</f>
        <v>0</v>
      </c>
    </row>
    <row r="124" spans="1:17" ht="21" customHeight="1">
      <c r="A124" s="4" t="s">
        <v>223</v>
      </c>
      <c r="B124" s="1">
        <v>11</v>
      </c>
      <c r="C124" s="4" t="str">
        <f>'Entradas'!A11</f>
        <v>H1</v>
      </c>
      <c r="D124" s="4" t="str">
        <f>'Entradas'!A12</f>
        <v>H2</v>
      </c>
      <c r="E124" s="1">
        <f>'Tramos_red'!M14*'Tramos_red'!T14*'Tramos_red'!Y14</f>
        <v>0.0</v>
      </c>
      <c r="F124" s="1">
        <f>IF(E124&gt;'Resumen'!$B$14,'Tramos_red'!J14,"")</f>
        <v/>
      </c>
      <c r="G124" s="1">
        <f>IF(E124&gt;'Resumen'!$B$14,'Tramos_red'!I14,"")</f>
        <v/>
      </c>
      <c r="H124" s="1">
        <f>IF(E124&gt;'Resumen'!$B$14,'Tramos_red'!K14,"")</f>
        <v/>
      </c>
      <c r="I124" s="1">
        <f>IF(E124&gt;'Resumen'!$B$14,'Tramos_red'!L14,"")</f>
        <v/>
      </c>
      <c r="J124" s="6">
        <f>IF(E124&gt;'Resumen'!$B$14,'Tramos_red'!Y14,0)</f>
        <v>0</v>
      </c>
      <c r="K124" s="6">
        <f>IF(E124&gt;'Resumen'!$B$14,'Tramos_red'!T14,0)</f>
        <v>0</v>
      </c>
      <c r="L124" s="1">
        <f>J124*'Entradas'!B11</f>
        <v>0</v>
      </c>
      <c r="M124" s="1">
        <f>K124*'Entradas'!B12</f>
        <v>0</v>
      </c>
      <c r="N124" s="1">
        <f>IF(E124&gt;'Resumen'!$B$14,'Tramos_red'!P14,0)</f>
        <v>0</v>
      </c>
      <c r="O124" s="1">
        <f>IF(E124&gt;'Resumen'!$B$14,'Tramos_red'!Q14,0)</f>
        <v>0</v>
      </c>
      <c r="P124" s="1">
        <f>IF(E124&gt;'Resumen'!$B$14,'Tramos_red'!R14,0)</f>
        <v>0</v>
      </c>
      <c r="Q124" s="1">
        <f>IF(E124&lt;='Resumen'!$B$14,0,IF('Entradas'!$B$5=0,"sin U",IF(P124=0,"infinita",E124/('Entradas'!$B$5*P124))))</f>
        <v>0</v>
      </c>
    </row>
    <row r="125" spans="1:17" ht="21" customHeight="1">
      <c r="A125" s="4" t="s">
        <v>224</v>
      </c>
      <c r="B125" s="1">
        <v>11</v>
      </c>
      <c r="C125" s="4" t="str">
        <f>'Entradas'!A11</f>
        <v>H1</v>
      </c>
      <c r="D125" s="4" t="str">
        <f>'Entradas'!A13</f>
        <v>C3</v>
      </c>
      <c r="E125" s="1">
        <f>'Tramos_red'!M14*'Tramos_red'!T14*'Tramos_red'!Z14</f>
        <v>0.0</v>
      </c>
      <c r="F125" s="1">
        <f>IF(E125&gt;'Resumen'!$B$14,'Tramos_red'!J14,"")</f>
        <v/>
      </c>
      <c r="G125" s="1">
        <f>IF(E125&gt;'Resumen'!$B$14,'Tramos_red'!I14,"")</f>
        <v/>
      </c>
      <c r="H125" s="1">
        <f>IF(E125&gt;'Resumen'!$B$14,'Tramos_red'!K14,"")</f>
        <v/>
      </c>
      <c r="I125" s="1">
        <f>IF(E125&gt;'Resumen'!$B$14,'Tramos_red'!L14,"")</f>
        <v/>
      </c>
      <c r="J125" s="6">
        <f>IF(E125&gt;'Resumen'!$B$14,'Tramos_red'!Z14,0)</f>
        <v>0</v>
      </c>
      <c r="K125" s="6">
        <f>IF(E125&gt;'Resumen'!$B$14,'Tramos_red'!T14,0)</f>
        <v>0</v>
      </c>
      <c r="L125" s="1">
        <f>J125*'Entradas'!B11</f>
        <v>0</v>
      </c>
      <c r="M125" s="1">
        <f>K125*'Entradas'!B13</f>
        <v>0</v>
      </c>
      <c r="N125" s="1">
        <f>IF(E125&gt;'Resumen'!$B$14,'Tramos_red'!P14,0)</f>
        <v>0</v>
      </c>
      <c r="O125" s="1">
        <f>IF(E125&gt;'Resumen'!$B$14,'Tramos_red'!Q14,0)</f>
        <v>0</v>
      </c>
      <c r="P125" s="1">
        <f>IF(E125&gt;'Resumen'!$B$14,'Tramos_red'!R14,0)</f>
        <v>0</v>
      </c>
      <c r="Q125" s="1">
        <f>IF(E125&lt;='Resumen'!$B$14,0,IF('Entradas'!$B$5=0,"sin U",IF(P125=0,"infinita",E125/('Entradas'!$B$5*P125))))</f>
        <v>0</v>
      </c>
    </row>
    <row r="126" spans="1:17" ht="21" customHeight="1">
      <c r="A126" s="4" t="s">
        <v>225</v>
      </c>
      <c r="B126" s="1">
        <v>11</v>
      </c>
      <c r="C126" s="4" t="str">
        <f>'Entradas'!A11</f>
        <v>H1</v>
      </c>
      <c r="D126" s="4" t="str">
        <f>'Entradas'!A14</f>
        <v>C4</v>
      </c>
      <c r="E126" s="1">
        <f>'Tramos_red'!M14*'Tramos_red'!T14*'Tramos_red'!AA14</f>
        <v>10000.0</v>
      </c>
      <c r="F126" s="1">
        <f>IF(E126&gt;'Resumen'!$B$14,'Tramos_red'!J14,"")</f>
        <v>200.0</v>
      </c>
      <c r="G126" s="1">
        <f>IF(E126&gt;'Resumen'!$B$14,'Tramos_red'!I14,"")</f>
        <v>190.0</v>
      </c>
      <c r="H126" s="1">
        <f>IF(E126&gt;'Resumen'!$B$14,'Tramos_red'!K14,"")</f>
        <v>161.66666666666666</v>
      </c>
      <c r="I126" s="1">
        <f>IF(E126&gt;'Resumen'!$B$14,'Tramos_red'!L14,"")</f>
        <v>170.0</v>
      </c>
      <c r="J126" s="6">
        <f>IF(E126&gt;'Resumen'!$B$14,'Tramos_red'!AA14,0)</f>
        <v>1.0</v>
      </c>
      <c r="K126" s="6">
        <f>IF(E126&gt;'Resumen'!$B$14,'Tramos_red'!T14,0)</f>
        <v>0.2</v>
      </c>
      <c r="L126" s="1">
        <f>J126*'Entradas'!B11</f>
        <v>1000.0</v>
      </c>
      <c r="M126" s="1">
        <f>K126*'Entradas'!B14</f>
        <v>1200.0</v>
      </c>
      <c r="N126" s="1">
        <f>IF(E126&gt;'Resumen'!$B$14,'Tramos_red'!P14,0)</f>
        <v>30.0</v>
      </c>
      <c r="O126" s="1">
        <f>IF(E126&gt;'Resumen'!$B$14,'Tramos_red'!Q14,0)</f>
        <v>28.333333333333343</v>
      </c>
      <c r="P126" s="1">
        <f>IF(E126&gt;'Resumen'!$B$14,'Tramos_red'!R14,0)</f>
        <v>29.158728430315858</v>
      </c>
      <c r="Q126" s="1" t="str">
        <f>IF(E126&lt;='Resumen'!$B$14,0,IF('Entradas'!$B$5=0,"sin U",IF(P126=0,"infinita",E126/('Entradas'!$B$5*P126))))</f>
        <v>sin U</v>
      </c>
    </row>
    <row r="127" spans="1:17" ht="21" customHeight="1">
      <c r="A127" s="4" t="s">
        <v>226</v>
      </c>
      <c r="B127" s="1">
        <v>11</v>
      </c>
      <c r="C127" s="4" t="str">
        <f>'Entradas'!A12</f>
        <v>H2</v>
      </c>
      <c r="D127" s="4" t="str">
        <f>'Entradas'!A11</f>
        <v>H1</v>
      </c>
      <c r="E127" s="1">
        <f>'Tramos_red'!M14*'Tramos_red'!U14*'Tramos_red'!X14</f>
        <v>0.0</v>
      </c>
      <c r="F127" s="1">
        <f>IF(E127&gt;'Resumen'!$B$14,'Tramos_red'!J14,"")</f>
        <v/>
      </c>
      <c r="G127" s="1">
        <f>IF(E127&gt;'Resumen'!$B$14,'Tramos_red'!I14,"")</f>
        <v/>
      </c>
      <c r="H127" s="1">
        <f>IF(E127&gt;'Resumen'!$B$14,'Tramos_red'!K14,"")</f>
        <v/>
      </c>
      <c r="I127" s="1">
        <f>IF(E127&gt;'Resumen'!$B$14,'Tramos_red'!L14,"")</f>
        <v/>
      </c>
      <c r="J127" s="6">
        <f>IF(E127&gt;'Resumen'!$B$14,'Tramos_red'!X14,0)</f>
        <v>0</v>
      </c>
      <c r="K127" s="6">
        <f>IF(E127&gt;'Resumen'!$B$14,'Tramos_red'!U14,0)</f>
        <v>0</v>
      </c>
      <c r="L127" s="1">
        <f>J127*'Entradas'!B12</f>
        <v>0</v>
      </c>
      <c r="M127" s="1">
        <f>K127*'Entradas'!B11</f>
        <v>0</v>
      </c>
      <c r="N127" s="1">
        <f>IF(E127&gt;'Resumen'!$B$14,'Tramos_red'!P14,0)</f>
        <v>0</v>
      </c>
      <c r="O127" s="1">
        <f>IF(E127&gt;'Resumen'!$B$14,'Tramos_red'!Q14,0)</f>
        <v>0</v>
      </c>
      <c r="P127" s="1">
        <f>IF(E127&gt;'Resumen'!$B$14,'Tramos_red'!R14,0)</f>
        <v>0</v>
      </c>
      <c r="Q127" s="1">
        <f>IF(E127&lt;='Resumen'!$B$14,0,IF('Entradas'!$B$5=0,"sin U",IF(P127=0,"infinita",E127/('Entradas'!$B$5*P127))))</f>
        <v>0</v>
      </c>
    </row>
    <row r="128" spans="1:17" ht="21" customHeight="1">
      <c r="A128" s="4" t="s">
        <v>227</v>
      </c>
      <c r="B128" s="1">
        <v>11</v>
      </c>
      <c r="C128" s="4" t="str">
        <f>'Entradas'!A12</f>
        <v>H2</v>
      </c>
      <c r="D128" s="4" t="str">
        <f>'Entradas'!A13</f>
        <v>C3</v>
      </c>
      <c r="E128" s="1">
        <f>'Tramos_red'!M14*'Tramos_red'!U14*'Tramos_red'!Z14</f>
        <v>0.0</v>
      </c>
      <c r="F128" s="1">
        <f>IF(E128&gt;'Resumen'!$B$14,'Tramos_red'!J14,"")</f>
        <v/>
      </c>
      <c r="G128" s="1">
        <f>IF(E128&gt;'Resumen'!$B$14,'Tramos_red'!I14,"")</f>
        <v/>
      </c>
      <c r="H128" s="1">
        <f>IF(E128&gt;'Resumen'!$B$14,'Tramos_red'!K14,"")</f>
        <v/>
      </c>
      <c r="I128" s="1">
        <f>IF(E128&gt;'Resumen'!$B$14,'Tramos_red'!L14,"")</f>
        <v/>
      </c>
      <c r="J128" s="6">
        <f>IF(E128&gt;'Resumen'!$B$14,'Tramos_red'!Z14,0)</f>
        <v>0</v>
      </c>
      <c r="K128" s="6">
        <f>IF(E128&gt;'Resumen'!$B$14,'Tramos_red'!U14,0)</f>
        <v>0</v>
      </c>
      <c r="L128" s="1">
        <f>J128*'Entradas'!B12</f>
        <v>0</v>
      </c>
      <c r="M128" s="1">
        <f>K128*'Entradas'!B13</f>
        <v>0</v>
      </c>
      <c r="N128" s="1">
        <f>IF(E128&gt;'Resumen'!$B$14,'Tramos_red'!P14,0)</f>
        <v>0</v>
      </c>
      <c r="O128" s="1">
        <f>IF(E128&gt;'Resumen'!$B$14,'Tramos_red'!Q14,0)</f>
        <v>0</v>
      </c>
      <c r="P128" s="1">
        <f>IF(E128&gt;'Resumen'!$B$14,'Tramos_red'!R14,0)</f>
        <v>0</v>
      </c>
      <c r="Q128" s="1">
        <f>IF(E128&lt;='Resumen'!$B$14,0,IF('Entradas'!$B$5=0,"sin U",IF(P128=0,"infinita",E128/('Entradas'!$B$5*P128))))</f>
        <v>0</v>
      </c>
    </row>
    <row r="129" spans="1:17" ht="21" customHeight="1">
      <c r="A129" s="4" t="s">
        <v>228</v>
      </c>
      <c r="B129" s="1">
        <v>11</v>
      </c>
      <c r="C129" s="4" t="str">
        <f>'Entradas'!A12</f>
        <v>H2</v>
      </c>
      <c r="D129" s="4" t="str">
        <f>'Entradas'!A14</f>
        <v>C4</v>
      </c>
      <c r="E129" s="1">
        <f>'Tramos_red'!M14*'Tramos_red'!U14*'Tramos_red'!AA14</f>
        <v>40000.0</v>
      </c>
      <c r="F129" s="1">
        <f>IF(E129&gt;'Resumen'!$B$14,'Tramos_red'!J14,"")</f>
        <v>200.0</v>
      </c>
      <c r="G129" s="1">
        <f>IF(E129&gt;'Resumen'!$B$14,'Tramos_red'!I14,"")</f>
        <v>190.0</v>
      </c>
      <c r="H129" s="1">
        <f>IF(E129&gt;'Resumen'!$B$14,'Tramos_red'!K14,"")</f>
        <v>161.66666666666666</v>
      </c>
      <c r="I129" s="1">
        <f>IF(E129&gt;'Resumen'!$B$14,'Tramos_red'!L14,"")</f>
        <v>170.0</v>
      </c>
      <c r="J129" s="6">
        <f>IF(E129&gt;'Resumen'!$B$14,'Tramos_red'!AA14,0)</f>
        <v>1.0</v>
      </c>
      <c r="K129" s="6">
        <f>IF(E129&gt;'Resumen'!$B$14,'Tramos_red'!U14,0)</f>
        <v>0.8</v>
      </c>
      <c r="L129" s="1">
        <f>J129*'Entradas'!B12</f>
        <v>4000.0</v>
      </c>
      <c r="M129" s="1">
        <f>K129*'Entradas'!B14</f>
        <v>4800.0</v>
      </c>
      <c r="N129" s="1">
        <f>IF(E129&gt;'Resumen'!$B$14,'Tramos_red'!P14,0)</f>
        <v>30.0</v>
      </c>
      <c r="O129" s="1">
        <f>IF(E129&gt;'Resumen'!$B$14,'Tramos_red'!Q14,0)</f>
        <v>28.333333333333343</v>
      </c>
      <c r="P129" s="1">
        <f>IF(E129&gt;'Resumen'!$B$14,'Tramos_red'!R14,0)</f>
        <v>29.158728430315858</v>
      </c>
      <c r="Q129" s="1" t="str">
        <f>IF(E129&lt;='Resumen'!$B$14,0,IF('Entradas'!$B$5=0,"sin U",IF(P129=0,"infinita",E129/('Entradas'!$B$5*P129))))</f>
        <v>sin U</v>
      </c>
    </row>
    <row r="130" spans="1:17" ht="21" customHeight="1">
      <c r="A130" s="4" t="s">
        <v>229</v>
      </c>
      <c r="B130" s="1">
        <v>11</v>
      </c>
      <c r="C130" s="4" t="str">
        <f>'Entradas'!A13</f>
        <v>C3</v>
      </c>
      <c r="D130" s="4" t="str">
        <f>'Entradas'!A11</f>
        <v>H1</v>
      </c>
      <c r="E130" s="1">
        <f>'Tramos_red'!M14*'Tramos_red'!V14*'Tramos_red'!X14</f>
        <v>0.0</v>
      </c>
      <c r="F130" s="1">
        <f>IF(E130&gt;'Resumen'!$B$14,'Tramos_red'!J14,"")</f>
        <v/>
      </c>
      <c r="G130" s="1">
        <f>IF(E130&gt;'Resumen'!$B$14,'Tramos_red'!I14,"")</f>
        <v/>
      </c>
      <c r="H130" s="1">
        <f>IF(E130&gt;'Resumen'!$B$14,'Tramos_red'!K14,"")</f>
        <v/>
      </c>
      <c r="I130" s="1">
        <f>IF(E130&gt;'Resumen'!$B$14,'Tramos_red'!L14,"")</f>
        <v/>
      </c>
      <c r="J130" s="6">
        <f>IF(E130&gt;'Resumen'!$B$14,'Tramos_red'!X14,0)</f>
        <v>0</v>
      </c>
      <c r="K130" s="6">
        <f>IF(E130&gt;'Resumen'!$B$14,'Tramos_red'!V14,0)</f>
        <v>0</v>
      </c>
      <c r="L130" s="1">
        <f>J130*'Entradas'!B13</f>
        <v>0</v>
      </c>
      <c r="M130" s="1">
        <f>K130*'Entradas'!B11</f>
        <v>0</v>
      </c>
      <c r="N130" s="1">
        <f>IF(E130&gt;'Resumen'!$B$14,'Tramos_red'!P14,0)</f>
        <v>0</v>
      </c>
      <c r="O130" s="1">
        <f>IF(E130&gt;'Resumen'!$B$14,'Tramos_red'!Q14,0)</f>
        <v>0</v>
      </c>
      <c r="P130" s="1">
        <f>IF(E130&gt;'Resumen'!$B$14,'Tramos_red'!R14,0)</f>
        <v>0</v>
      </c>
      <c r="Q130" s="1">
        <f>IF(E130&lt;='Resumen'!$B$14,0,IF('Entradas'!$B$5=0,"sin U",IF(P130=0,"infinita",E130/('Entradas'!$B$5*P130))))</f>
        <v>0</v>
      </c>
    </row>
    <row r="131" spans="1:17" ht="21" customHeight="1">
      <c r="A131" s="4" t="s">
        <v>230</v>
      </c>
      <c r="B131" s="1">
        <v>11</v>
      </c>
      <c r="C131" s="4" t="str">
        <f>'Entradas'!A13</f>
        <v>C3</v>
      </c>
      <c r="D131" s="4" t="str">
        <f>'Entradas'!A12</f>
        <v>H2</v>
      </c>
      <c r="E131" s="1">
        <f>'Tramos_red'!M14*'Tramos_red'!V14*'Tramos_red'!Y14</f>
        <v>0.0</v>
      </c>
      <c r="F131" s="1">
        <f>IF(E131&gt;'Resumen'!$B$14,'Tramos_red'!J14,"")</f>
        <v/>
      </c>
      <c r="G131" s="1">
        <f>IF(E131&gt;'Resumen'!$B$14,'Tramos_red'!I14,"")</f>
        <v/>
      </c>
      <c r="H131" s="1">
        <f>IF(E131&gt;'Resumen'!$B$14,'Tramos_red'!K14,"")</f>
        <v/>
      </c>
      <c r="I131" s="1">
        <f>IF(E131&gt;'Resumen'!$B$14,'Tramos_red'!L14,"")</f>
        <v/>
      </c>
      <c r="J131" s="6">
        <f>IF(E131&gt;'Resumen'!$B$14,'Tramos_red'!Y14,0)</f>
        <v>0</v>
      </c>
      <c r="K131" s="6">
        <f>IF(E131&gt;'Resumen'!$B$14,'Tramos_red'!V14,0)</f>
        <v>0</v>
      </c>
      <c r="L131" s="1">
        <f>J131*'Entradas'!B13</f>
        <v>0</v>
      </c>
      <c r="M131" s="1">
        <f>K131*'Entradas'!B12</f>
        <v>0</v>
      </c>
      <c r="N131" s="1">
        <f>IF(E131&gt;'Resumen'!$B$14,'Tramos_red'!P14,0)</f>
        <v>0</v>
      </c>
      <c r="O131" s="1">
        <f>IF(E131&gt;'Resumen'!$B$14,'Tramos_red'!Q14,0)</f>
        <v>0</v>
      </c>
      <c r="P131" s="1">
        <f>IF(E131&gt;'Resumen'!$B$14,'Tramos_red'!R14,0)</f>
        <v>0</v>
      </c>
      <c r="Q131" s="1">
        <f>IF(E131&lt;='Resumen'!$B$14,0,IF('Entradas'!$B$5=0,"sin U",IF(P131=0,"infinita",E131/('Entradas'!$B$5*P131))))</f>
        <v>0</v>
      </c>
    </row>
    <row r="132" spans="1:17" ht="21" customHeight="1">
      <c r="A132" s="4" t="s">
        <v>231</v>
      </c>
      <c r="B132" s="1">
        <v>11</v>
      </c>
      <c r="C132" s="4" t="str">
        <f>'Entradas'!A13</f>
        <v>C3</v>
      </c>
      <c r="D132" s="4" t="str">
        <f>'Entradas'!A14</f>
        <v>C4</v>
      </c>
      <c r="E132" s="1">
        <f>'Tramos_red'!M14*'Tramos_red'!V14*'Tramos_red'!AA14</f>
        <v>0.0</v>
      </c>
      <c r="F132" s="1">
        <f>IF(E132&gt;'Resumen'!$B$14,'Tramos_red'!J14,"")</f>
        <v/>
      </c>
      <c r="G132" s="1">
        <f>IF(E132&gt;'Resumen'!$B$14,'Tramos_red'!I14,"")</f>
        <v/>
      </c>
      <c r="H132" s="1">
        <f>IF(E132&gt;'Resumen'!$B$14,'Tramos_red'!K14,"")</f>
        <v/>
      </c>
      <c r="I132" s="1">
        <f>IF(E132&gt;'Resumen'!$B$14,'Tramos_red'!L14,"")</f>
        <v/>
      </c>
      <c r="J132" s="6">
        <f>IF(E132&gt;'Resumen'!$B$14,'Tramos_red'!AA14,0)</f>
        <v>0</v>
      </c>
      <c r="K132" s="6">
        <f>IF(E132&gt;'Resumen'!$B$14,'Tramos_red'!V14,0)</f>
        <v>0</v>
      </c>
      <c r="L132" s="1">
        <f>J132*'Entradas'!B13</f>
        <v>0</v>
      </c>
      <c r="M132" s="1">
        <f>K132*'Entradas'!B14</f>
        <v>0</v>
      </c>
      <c r="N132" s="1">
        <f>IF(E132&gt;'Resumen'!$B$14,'Tramos_red'!P14,0)</f>
        <v>0</v>
      </c>
      <c r="O132" s="1">
        <f>IF(E132&gt;'Resumen'!$B$14,'Tramos_red'!Q14,0)</f>
        <v>0</v>
      </c>
      <c r="P132" s="1">
        <f>IF(E132&gt;'Resumen'!$B$14,'Tramos_red'!R14,0)</f>
        <v>0</v>
      </c>
      <c r="Q132" s="1">
        <f>IF(E132&lt;='Resumen'!$B$14,0,IF('Entradas'!$B$5=0,"sin U",IF(P132=0,"infinita",E132/('Entradas'!$B$5*P132))))</f>
        <v>0</v>
      </c>
    </row>
    <row r="133" spans="1:17" ht="21" customHeight="1">
      <c r="A133" s="4" t="s">
        <v>232</v>
      </c>
      <c r="B133" s="1">
        <v>11</v>
      </c>
      <c r="C133" s="4" t="str">
        <f>'Entradas'!A14</f>
        <v>C4</v>
      </c>
      <c r="D133" s="4" t="str">
        <f>'Entradas'!A11</f>
        <v>H1</v>
      </c>
      <c r="E133" s="1">
        <f>'Tramos_red'!M14*'Tramos_red'!W14*'Tramos_red'!X14</f>
        <v>0.0</v>
      </c>
      <c r="F133" s="1">
        <f>IF(E133&gt;'Resumen'!$B$14,'Tramos_red'!J14,"")</f>
        <v/>
      </c>
      <c r="G133" s="1">
        <f>IF(E133&gt;'Resumen'!$B$14,'Tramos_red'!I14,"")</f>
        <v/>
      </c>
      <c r="H133" s="1">
        <f>IF(E133&gt;'Resumen'!$B$14,'Tramos_red'!K14,"")</f>
        <v/>
      </c>
      <c r="I133" s="1">
        <f>IF(E133&gt;'Resumen'!$B$14,'Tramos_red'!L14,"")</f>
        <v/>
      </c>
      <c r="J133" s="6">
        <f>IF(E133&gt;'Resumen'!$B$14,'Tramos_red'!X14,0)</f>
        <v>0</v>
      </c>
      <c r="K133" s="6">
        <f>IF(E133&gt;'Resumen'!$B$14,'Tramos_red'!W14,0)</f>
        <v>0</v>
      </c>
      <c r="L133" s="1">
        <f>J133*'Entradas'!B14</f>
        <v>0</v>
      </c>
      <c r="M133" s="1">
        <f>K133*'Entradas'!B11</f>
        <v>0</v>
      </c>
      <c r="N133" s="1">
        <f>IF(E133&gt;'Resumen'!$B$14,'Tramos_red'!P14,0)</f>
        <v>0</v>
      </c>
      <c r="O133" s="1">
        <f>IF(E133&gt;'Resumen'!$B$14,'Tramos_red'!Q14,0)</f>
        <v>0</v>
      </c>
      <c r="P133" s="1">
        <f>IF(E133&gt;'Resumen'!$B$14,'Tramos_red'!R14,0)</f>
        <v>0</v>
      </c>
      <c r="Q133" s="1">
        <f>IF(E133&lt;='Resumen'!$B$14,0,IF('Entradas'!$B$5=0,"sin U",IF(P133=0,"infinita",E133/('Entradas'!$B$5*P133))))</f>
        <v>0</v>
      </c>
    </row>
    <row r="134" spans="1:17" ht="21" customHeight="1">
      <c r="A134" s="4" t="s">
        <v>233</v>
      </c>
      <c r="B134" s="1">
        <v>11</v>
      </c>
      <c r="C134" s="4" t="str">
        <f>'Entradas'!A14</f>
        <v>C4</v>
      </c>
      <c r="D134" s="4" t="str">
        <f>'Entradas'!A12</f>
        <v>H2</v>
      </c>
      <c r="E134" s="1">
        <f>'Tramos_red'!M14*'Tramos_red'!W14*'Tramos_red'!Y14</f>
        <v>0.0</v>
      </c>
      <c r="F134" s="1">
        <f>IF(E134&gt;'Resumen'!$B$14,'Tramos_red'!J14,"")</f>
        <v/>
      </c>
      <c r="G134" s="1">
        <f>IF(E134&gt;'Resumen'!$B$14,'Tramos_red'!I14,"")</f>
        <v/>
      </c>
      <c r="H134" s="1">
        <f>IF(E134&gt;'Resumen'!$B$14,'Tramos_red'!K14,"")</f>
        <v/>
      </c>
      <c r="I134" s="1">
        <f>IF(E134&gt;'Resumen'!$B$14,'Tramos_red'!L14,"")</f>
        <v/>
      </c>
      <c r="J134" s="6">
        <f>IF(E134&gt;'Resumen'!$B$14,'Tramos_red'!Y14,0)</f>
        <v>0</v>
      </c>
      <c r="K134" s="6">
        <f>IF(E134&gt;'Resumen'!$B$14,'Tramos_red'!W14,0)</f>
        <v>0</v>
      </c>
      <c r="L134" s="1">
        <f>J134*'Entradas'!B14</f>
        <v>0</v>
      </c>
      <c r="M134" s="1">
        <f>K134*'Entradas'!B12</f>
        <v>0</v>
      </c>
      <c r="N134" s="1">
        <f>IF(E134&gt;'Resumen'!$B$14,'Tramos_red'!P14,0)</f>
        <v>0</v>
      </c>
      <c r="O134" s="1">
        <f>IF(E134&gt;'Resumen'!$B$14,'Tramos_red'!Q14,0)</f>
        <v>0</v>
      </c>
      <c r="P134" s="1">
        <f>IF(E134&gt;'Resumen'!$B$14,'Tramos_red'!R14,0)</f>
        <v>0</v>
      </c>
      <c r="Q134" s="1">
        <f>IF(E134&lt;='Resumen'!$B$14,0,IF('Entradas'!$B$5=0,"sin U",IF(P134=0,"infinita",E134/('Entradas'!$B$5*P134))))</f>
        <v>0</v>
      </c>
    </row>
    <row r="135" spans="1:17" ht="21" customHeight="1">
      <c r="A135" s="4" t="s">
        <v>234</v>
      </c>
      <c r="B135" s="1">
        <v>11</v>
      </c>
      <c r="C135" s="4" t="str">
        <f>'Entradas'!A14</f>
        <v>C4</v>
      </c>
      <c r="D135" s="4" t="str">
        <f>'Entradas'!A13</f>
        <v>C3</v>
      </c>
      <c r="E135" s="1">
        <f>'Tramos_red'!M14*'Tramos_red'!W14*'Tramos_red'!Z14</f>
        <v>0.0</v>
      </c>
      <c r="F135" s="1">
        <f>IF(E135&gt;'Resumen'!$B$14,'Tramos_red'!J14,"")</f>
        <v/>
      </c>
      <c r="G135" s="1">
        <f>IF(E135&gt;'Resumen'!$B$14,'Tramos_red'!I14,"")</f>
        <v/>
      </c>
      <c r="H135" s="1">
        <f>IF(E135&gt;'Resumen'!$B$14,'Tramos_red'!K14,"")</f>
        <v/>
      </c>
      <c r="I135" s="1">
        <f>IF(E135&gt;'Resumen'!$B$14,'Tramos_red'!L14,"")</f>
        <v/>
      </c>
      <c r="J135" s="6">
        <f>IF(E135&gt;'Resumen'!$B$14,'Tramos_red'!Z14,0)</f>
        <v>0</v>
      </c>
      <c r="K135" s="6">
        <f>IF(E135&gt;'Resumen'!$B$14,'Tramos_red'!W14,0)</f>
        <v>0</v>
      </c>
      <c r="L135" s="1">
        <f>J135*'Entradas'!B14</f>
        <v>0</v>
      </c>
      <c r="M135" s="1">
        <f>K135*'Entradas'!B13</f>
        <v>0</v>
      </c>
      <c r="N135" s="1">
        <f>IF(E135&gt;'Resumen'!$B$14,'Tramos_red'!P14,0)</f>
        <v>0</v>
      </c>
      <c r="O135" s="1">
        <f>IF(E135&gt;'Resumen'!$B$14,'Tramos_red'!Q14,0)</f>
        <v>0</v>
      </c>
      <c r="P135" s="1">
        <f>IF(E135&gt;'Resumen'!$B$14,'Tramos_red'!R14,0)</f>
        <v>0</v>
      </c>
      <c r="Q135" s="1">
        <f>IF(E135&lt;='Resumen'!$B$14,0,IF('Entradas'!$B$5=0,"sin U",IF(P135=0,"infinita",E135/('Entradas'!$B$5*P135))))</f>
        <v>0</v>
      </c>
    </row>
    <row r="136" spans="1:17" ht="21" customHeight="1">
      <c r="A136" s="4" t="s">
        <v>235</v>
      </c>
      <c r="B136" s="1">
        <v>12</v>
      </c>
      <c r="C136" s="4" t="str">
        <f>'Entradas'!A11</f>
        <v>H1</v>
      </c>
      <c r="D136" s="4" t="str">
        <f>'Entradas'!A12</f>
        <v>H2</v>
      </c>
      <c r="E136" s="1">
        <f>'Tramos_red'!M15*'Tramos_red'!T15*'Tramos_red'!Y15</f>
        <v>0.0</v>
      </c>
      <c r="F136" s="1">
        <f>IF(E136&gt;'Resumen'!$B$14,'Tramos_red'!J15,"")</f>
        <v/>
      </c>
      <c r="G136" s="1">
        <f>IF(E136&gt;'Resumen'!$B$14,'Tramos_red'!I15,"")</f>
        <v/>
      </c>
      <c r="H136" s="1">
        <f>IF(E136&gt;'Resumen'!$B$14,'Tramos_red'!K15,"")</f>
        <v/>
      </c>
      <c r="I136" s="1">
        <f>IF(E136&gt;'Resumen'!$B$14,'Tramos_red'!L15,"")</f>
        <v/>
      </c>
      <c r="J136" s="6">
        <f>IF(E136&gt;'Resumen'!$B$14,'Tramos_red'!Y15,0)</f>
        <v>0</v>
      </c>
      <c r="K136" s="6">
        <f>IF(E136&gt;'Resumen'!$B$14,'Tramos_red'!T15,0)</f>
        <v>0</v>
      </c>
      <c r="L136" s="1">
        <f>J136*'Entradas'!B11</f>
        <v>0</v>
      </c>
      <c r="M136" s="1">
        <f>K136*'Entradas'!B12</f>
        <v>0</v>
      </c>
      <c r="N136" s="1">
        <f>IF(E136&gt;'Resumen'!$B$14,'Tramos_red'!P15,0)</f>
        <v>0</v>
      </c>
      <c r="O136" s="1">
        <f>IF(E136&gt;'Resumen'!$B$14,'Tramos_red'!Q15,0)</f>
        <v>0</v>
      </c>
      <c r="P136" s="1">
        <f>IF(E136&gt;'Resumen'!$B$14,'Tramos_red'!R15,0)</f>
        <v>0</v>
      </c>
      <c r="Q136" s="1">
        <f>IF(E136&lt;='Resumen'!$B$14,0,IF('Entradas'!$B$5=0,"sin U",IF(P136=0,"infinita",E136/('Entradas'!$B$5*P136))))</f>
        <v>0</v>
      </c>
    </row>
    <row r="137" spans="1:17" ht="21" customHeight="1">
      <c r="A137" s="4" t="s">
        <v>236</v>
      </c>
      <c r="B137" s="1">
        <v>12</v>
      </c>
      <c r="C137" s="4" t="str">
        <f>'Entradas'!A11</f>
        <v>H1</v>
      </c>
      <c r="D137" s="4" t="str">
        <f>'Entradas'!A13</f>
        <v>C3</v>
      </c>
      <c r="E137" s="1">
        <f>'Tramos_red'!M15*'Tramos_red'!T15*'Tramos_red'!Z15</f>
        <v>0.0</v>
      </c>
      <c r="F137" s="1">
        <f>IF(E137&gt;'Resumen'!$B$14,'Tramos_red'!J15,"")</f>
        <v/>
      </c>
      <c r="G137" s="1">
        <f>IF(E137&gt;'Resumen'!$B$14,'Tramos_red'!I15,"")</f>
        <v/>
      </c>
      <c r="H137" s="1">
        <f>IF(E137&gt;'Resumen'!$B$14,'Tramos_red'!K15,"")</f>
        <v/>
      </c>
      <c r="I137" s="1">
        <f>IF(E137&gt;'Resumen'!$B$14,'Tramos_red'!L15,"")</f>
        <v/>
      </c>
      <c r="J137" s="6">
        <f>IF(E137&gt;'Resumen'!$B$14,'Tramos_red'!Z15,0)</f>
        <v>0</v>
      </c>
      <c r="K137" s="6">
        <f>IF(E137&gt;'Resumen'!$B$14,'Tramos_red'!T15,0)</f>
        <v>0</v>
      </c>
      <c r="L137" s="1">
        <f>J137*'Entradas'!B11</f>
        <v>0</v>
      </c>
      <c r="M137" s="1">
        <f>K137*'Entradas'!B13</f>
        <v>0</v>
      </c>
      <c r="N137" s="1">
        <f>IF(E137&gt;'Resumen'!$B$14,'Tramos_red'!P15,0)</f>
        <v>0</v>
      </c>
      <c r="O137" s="1">
        <f>IF(E137&gt;'Resumen'!$B$14,'Tramos_red'!Q15,0)</f>
        <v>0</v>
      </c>
      <c r="P137" s="1">
        <f>IF(E137&gt;'Resumen'!$B$14,'Tramos_red'!R15,0)</f>
        <v>0</v>
      </c>
      <c r="Q137" s="1">
        <f>IF(E137&lt;='Resumen'!$B$14,0,IF('Entradas'!$B$5=0,"sin U",IF(P137=0,"infinita",E137/('Entradas'!$B$5*P137))))</f>
        <v>0</v>
      </c>
    </row>
    <row r="138" spans="1:17" ht="21" customHeight="1">
      <c r="A138" s="4" t="s">
        <v>237</v>
      </c>
      <c r="B138" s="1">
        <v>12</v>
      </c>
      <c r="C138" s="4" t="str">
        <f>'Entradas'!A11</f>
        <v>H1</v>
      </c>
      <c r="D138" s="4" t="str">
        <f>'Entradas'!A14</f>
        <v>C4</v>
      </c>
      <c r="E138" s="1">
        <f>'Tramos_red'!M15*'Tramos_red'!T15*'Tramos_red'!AA15</f>
        <v>50000.0</v>
      </c>
      <c r="F138" s="1">
        <f>IF(E138&gt;'Resumen'!$B$14,'Tramos_red'!J15,"")</f>
        <v>250.0</v>
      </c>
      <c r="G138" s="1">
        <f>IF(E138&gt;'Resumen'!$B$14,'Tramos_red'!I15,"")</f>
        <v>200.0</v>
      </c>
      <c r="H138" s="1">
        <f>IF(E138&gt;'Resumen'!$B$14,'Tramos_red'!K15,"")</f>
        <v>170.0</v>
      </c>
      <c r="I138" s="1">
        <f>IF(E138&gt;'Resumen'!$B$14,'Tramos_red'!L15,"")</f>
        <v>178.33333333333334</v>
      </c>
      <c r="J138" s="6">
        <f>IF(E138&gt;'Resumen'!$B$14,'Tramos_red'!AA15,0)</f>
        <v>1.0</v>
      </c>
      <c r="K138" s="6">
        <f>IF(E138&gt;'Resumen'!$B$14,'Tramos_red'!T15,0)</f>
        <v>1.0</v>
      </c>
      <c r="L138" s="1">
        <f>J138*'Entradas'!B11</f>
        <v>1000.0</v>
      </c>
      <c r="M138" s="1">
        <f>K138*'Entradas'!B14</f>
        <v>6000.0</v>
      </c>
      <c r="N138" s="1">
        <f>IF(E138&gt;'Resumen'!$B$14,'Tramos_red'!P15,0)</f>
        <v>71.66666666666666</v>
      </c>
      <c r="O138" s="1">
        <f>IF(E138&gt;'Resumen'!$B$14,'Tramos_red'!Q15,0)</f>
        <v>30.0</v>
      </c>
      <c r="P138" s="1">
        <f>IF(E138&gt;'Resumen'!$B$14,'Tramos_red'!R15,0)</f>
        <v>47.84716332855184</v>
      </c>
      <c r="Q138" s="1" t="str">
        <f>IF(E138&lt;='Resumen'!$B$14,0,IF('Entradas'!$B$5=0,"sin U",IF(P138=0,"infinita",E138/('Entradas'!$B$5*P138))))</f>
        <v>sin U</v>
      </c>
    </row>
    <row r="139" spans="1:17" ht="21" customHeight="1">
      <c r="A139" s="4" t="s">
        <v>238</v>
      </c>
      <c r="B139" s="1">
        <v>12</v>
      </c>
      <c r="C139" s="4" t="str">
        <f>'Entradas'!A12</f>
        <v>H2</v>
      </c>
      <c r="D139" s="4" t="str">
        <f>'Entradas'!A11</f>
        <v>H1</v>
      </c>
      <c r="E139" s="1">
        <f>'Tramos_red'!M15*'Tramos_red'!U15*'Tramos_red'!X15</f>
        <v>0.0</v>
      </c>
      <c r="F139" s="1">
        <f>IF(E139&gt;'Resumen'!$B$14,'Tramos_red'!J15,"")</f>
        <v/>
      </c>
      <c r="G139" s="1">
        <f>IF(E139&gt;'Resumen'!$B$14,'Tramos_red'!I15,"")</f>
        <v/>
      </c>
      <c r="H139" s="1">
        <f>IF(E139&gt;'Resumen'!$B$14,'Tramos_red'!K15,"")</f>
        <v/>
      </c>
      <c r="I139" s="1">
        <f>IF(E139&gt;'Resumen'!$B$14,'Tramos_red'!L15,"")</f>
        <v/>
      </c>
      <c r="J139" s="6">
        <f>IF(E139&gt;'Resumen'!$B$14,'Tramos_red'!X15,0)</f>
        <v>0</v>
      </c>
      <c r="K139" s="6">
        <f>IF(E139&gt;'Resumen'!$B$14,'Tramos_red'!U15,0)</f>
        <v>0</v>
      </c>
      <c r="L139" s="1">
        <f>J139*'Entradas'!B12</f>
        <v>0</v>
      </c>
      <c r="M139" s="1">
        <f>K139*'Entradas'!B11</f>
        <v>0</v>
      </c>
      <c r="N139" s="1">
        <f>IF(E139&gt;'Resumen'!$B$14,'Tramos_red'!P15,0)</f>
        <v>0</v>
      </c>
      <c r="O139" s="1">
        <f>IF(E139&gt;'Resumen'!$B$14,'Tramos_red'!Q15,0)</f>
        <v>0</v>
      </c>
      <c r="P139" s="1">
        <f>IF(E139&gt;'Resumen'!$B$14,'Tramos_red'!R15,0)</f>
        <v>0</v>
      </c>
      <c r="Q139" s="1">
        <f>IF(E139&lt;='Resumen'!$B$14,0,IF('Entradas'!$B$5=0,"sin U",IF(P139=0,"infinita",E139/('Entradas'!$B$5*P139))))</f>
        <v>0</v>
      </c>
    </row>
    <row r="140" spans="1:17" ht="21" customHeight="1">
      <c r="A140" s="4" t="s">
        <v>239</v>
      </c>
      <c r="B140" s="1">
        <v>12</v>
      </c>
      <c r="C140" s="4" t="str">
        <f>'Entradas'!A12</f>
        <v>H2</v>
      </c>
      <c r="D140" s="4" t="str">
        <f>'Entradas'!A13</f>
        <v>C3</v>
      </c>
      <c r="E140" s="1">
        <f>'Tramos_red'!M15*'Tramos_red'!U15*'Tramos_red'!Z15</f>
        <v>0.0</v>
      </c>
      <c r="F140" s="1">
        <f>IF(E140&gt;'Resumen'!$B$14,'Tramos_red'!J15,"")</f>
        <v/>
      </c>
      <c r="G140" s="1">
        <f>IF(E140&gt;'Resumen'!$B$14,'Tramos_red'!I15,"")</f>
        <v/>
      </c>
      <c r="H140" s="1">
        <f>IF(E140&gt;'Resumen'!$B$14,'Tramos_red'!K15,"")</f>
        <v/>
      </c>
      <c r="I140" s="1">
        <f>IF(E140&gt;'Resumen'!$B$14,'Tramos_red'!L15,"")</f>
        <v/>
      </c>
      <c r="J140" s="6">
        <f>IF(E140&gt;'Resumen'!$B$14,'Tramos_red'!Z15,0)</f>
        <v>0</v>
      </c>
      <c r="K140" s="6">
        <f>IF(E140&gt;'Resumen'!$B$14,'Tramos_red'!U15,0)</f>
        <v>0</v>
      </c>
      <c r="L140" s="1">
        <f>J140*'Entradas'!B12</f>
        <v>0</v>
      </c>
      <c r="M140" s="1">
        <f>K140*'Entradas'!B13</f>
        <v>0</v>
      </c>
      <c r="N140" s="1">
        <f>IF(E140&gt;'Resumen'!$B$14,'Tramos_red'!P15,0)</f>
        <v>0</v>
      </c>
      <c r="O140" s="1">
        <f>IF(E140&gt;'Resumen'!$B$14,'Tramos_red'!Q15,0)</f>
        <v>0</v>
      </c>
      <c r="P140" s="1">
        <f>IF(E140&gt;'Resumen'!$B$14,'Tramos_red'!R15,0)</f>
        <v>0</v>
      </c>
      <c r="Q140" s="1">
        <f>IF(E140&lt;='Resumen'!$B$14,0,IF('Entradas'!$B$5=0,"sin U",IF(P140=0,"infinita",E140/('Entradas'!$B$5*P140))))</f>
        <v>0</v>
      </c>
    </row>
    <row r="141" spans="1:17" ht="21" customHeight="1">
      <c r="A141" s="4" t="s">
        <v>240</v>
      </c>
      <c r="B141" s="1">
        <v>12</v>
      </c>
      <c r="C141" s="4" t="str">
        <f>'Entradas'!A12</f>
        <v>H2</v>
      </c>
      <c r="D141" s="4" t="str">
        <f>'Entradas'!A14</f>
        <v>C4</v>
      </c>
      <c r="E141" s="1">
        <f>'Tramos_red'!M15*'Tramos_red'!U15*'Tramos_red'!AA15</f>
        <v>0.0</v>
      </c>
      <c r="F141" s="1">
        <f>IF(E141&gt;'Resumen'!$B$14,'Tramos_red'!J15,"")</f>
        <v/>
      </c>
      <c r="G141" s="1">
        <f>IF(E141&gt;'Resumen'!$B$14,'Tramos_red'!I15,"")</f>
        <v/>
      </c>
      <c r="H141" s="1">
        <f>IF(E141&gt;'Resumen'!$B$14,'Tramos_red'!K15,"")</f>
        <v/>
      </c>
      <c r="I141" s="1">
        <f>IF(E141&gt;'Resumen'!$B$14,'Tramos_red'!L15,"")</f>
        <v/>
      </c>
      <c r="J141" s="6">
        <f>IF(E141&gt;'Resumen'!$B$14,'Tramos_red'!AA15,0)</f>
        <v>0</v>
      </c>
      <c r="K141" s="6">
        <f>IF(E141&gt;'Resumen'!$B$14,'Tramos_red'!U15,0)</f>
        <v>0</v>
      </c>
      <c r="L141" s="1">
        <f>J141*'Entradas'!B12</f>
        <v>0</v>
      </c>
      <c r="M141" s="1">
        <f>K141*'Entradas'!B14</f>
        <v>0</v>
      </c>
      <c r="N141" s="1">
        <f>IF(E141&gt;'Resumen'!$B$14,'Tramos_red'!P15,0)</f>
        <v>0</v>
      </c>
      <c r="O141" s="1">
        <f>IF(E141&gt;'Resumen'!$B$14,'Tramos_red'!Q15,0)</f>
        <v>0</v>
      </c>
      <c r="P141" s="1">
        <f>IF(E141&gt;'Resumen'!$B$14,'Tramos_red'!R15,0)</f>
        <v>0</v>
      </c>
      <c r="Q141" s="1">
        <f>IF(E141&lt;='Resumen'!$B$14,0,IF('Entradas'!$B$5=0,"sin U",IF(P141=0,"infinita",E141/('Entradas'!$B$5*P141))))</f>
        <v>0</v>
      </c>
    </row>
    <row r="142" spans="1:17" ht="21" customHeight="1">
      <c r="A142" s="4" t="s">
        <v>241</v>
      </c>
      <c r="B142" s="1">
        <v>12</v>
      </c>
      <c r="C142" s="4" t="str">
        <f>'Entradas'!A13</f>
        <v>C3</v>
      </c>
      <c r="D142" s="4" t="str">
        <f>'Entradas'!A11</f>
        <v>H1</v>
      </c>
      <c r="E142" s="1">
        <f>'Tramos_red'!M15*'Tramos_red'!V15*'Tramos_red'!X15</f>
        <v>0.0</v>
      </c>
      <c r="F142" s="1">
        <f>IF(E142&gt;'Resumen'!$B$14,'Tramos_red'!J15,"")</f>
        <v/>
      </c>
      <c r="G142" s="1">
        <f>IF(E142&gt;'Resumen'!$B$14,'Tramos_red'!I15,"")</f>
        <v/>
      </c>
      <c r="H142" s="1">
        <f>IF(E142&gt;'Resumen'!$B$14,'Tramos_red'!K15,"")</f>
        <v/>
      </c>
      <c r="I142" s="1">
        <f>IF(E142&gt;'Resumen'!$B$14,'Tramos_red'!L15,"")</f>
        <v/>
      </c>
      <c r="J142" s="6">
        <f>IF(E142&gt;'Resumen'!$B$14,'Tramos_red'!X15,0)</f>
        <v>0</v>
      </c>
      <c r="K142" s="6">
        <f>IF(E142&gt;'Resumen'!$B$14,'Tramos_red'!V15,0)</f>
        <v>0</v>
      </c>
      <c r="L142" s="1">
        <f>J142*'Entradas'!B13</f>
        <v>0</v>
      </c>
      <c r="M142" s="1">
        <f>K142*'Entradas'!B11</f>
        <v>0</v>
      </c>
      <c r="N142" s="1">
        <f>IF(E142&gt;'Resumen'!$B$14,'Tramos_red'!P15,0)</f>
        <v>0</v>
      </c>
      <c r="O142" s="1">
        <f>IF(E142&gt;'Resumen'!$B$14,'Tramos_red'!Q15,0)</f>
        <v>0</v>
      </c>
      <c r="P142" s="1">
        <f>IF(E142&gt;'Resumen'!$B$14,'Tramos_red'!R15,0)</f>
        <v>0</v>
      </c>
      <c r="Q142" s="1">
        <f>IF(E142&lt;='Resumen'!$B$14,0,IF('Entradas'!$B$5=0,"sin U",IF(P142=0,"infinita",E142/('Entradas'!$B$5*P142))))</f>
        <v>0</v>
      </c>
    </row>
    <row r="143" spans="1:17" ht="21" customHeight="1">
      <c r="A143" s="4" t="s">
        <v>242</v>
      </c>
      <c r="B143" s="1">
        <v>12</v>
      </c>
      <c r="C143" s="4" t="str">
        <f>'Entradas'!A13</f>
        <v>C3</v>
      </c>
      <c r="D143" s="4" t="str">
        <f>'Entradas'!A12</f>
        <v>H2</v>
      </c>
      <c r="E143" s="1">
        <f>'Tramos_red'!M15*'Tramos_red'!V15*'Tramos_red'!Y15</f>
        <v>0.0</v>
      </c>
      <c r="F143" s="1">
        <f>IF(E143&gt;'Resumen'!$B$14,'Tramos_red'!J15,"")</f>
        <v/>
      </c>
      <c r="G143" s="1">
        <f>IF(E143&gt;'Resumen'!$B$14,'Tramos_red'!I15,"")</f>
        <v/>
      </c>
      <c r="H143" s="1">
        <f>IF(E143&gt;'Resumen'!$B$14,'Tramos_red'!K15,"")</f>
        <v/>
      </c>
      <c r="I143" s="1">
        <f>IF(E143&gt;'Resumen'!$B$14,'Tramos_red'!L15,"")</f>
        <v/>
      </c>
      <c r="J143" s="6">
        <f>IF(E143&gt;'Resumen'!$B$14,'Tramos_red'!Y15,0)</f>
        <v>0</v>
      </c>
      <c r="K143" s="6">
        <f>IF(E143&gt;'Resumen'!$B$14,'Tramos_red'!V15,0)</f>
        <v>0</v>
      </c>
      <c r="L143" s="1">
        <f>J143*'Entradas'!B13</f>
        <v>0</v>
      </c>
      <c r="M143" s="1">
        <f>K143*'Entradas'!B12</f>
        <v>0</v>
      </c>
      <c r="N143" s="1">
        <f>IF(E143&gt;'Resumen'!$B$14,'Tramos_red'!P15,0)</f>
        <v>0</v>
      </c>
      <c r="O143" s="1">
        <f>IF(E143&gt;'Resumen'!$B$14,'Tramos_red'!Q15,0)</f>
        <v>0</v>
      </c>
      <c r="P143" s="1">
        <f>IF(E143&gt;'Resumen'!$B$14,'Tramos_red'!R15,0)</f>
        <v>0</v>
      </c>
      <c r="Q143" s="1">
        <f>IF(E143&lt;='Resumen'!$B$14,0,IF('Entradas'!$B$5=0,"sin U",IF(P143=0,"infinita",E143/('Entradas'!$B$5*P143))))</f>
        <v>0</v>
      </c>
    </row>
    <row r="144" spans="1:17" ht="21" customHeight="1">
      <c r="A144" s="4" t="s">
        <v>243</v>
      </c>
      <c r="B144" s="1">
        <v>12</v>
      </c>
      <c r="C144" s="4" t="str">
        <f>'Entradas'!A13</f>
        <v>C3</v>
      </c>
      <c r="D144" s="4" t="str">
        <f>'Entradas'!A14</f>
        <v>C4</v>
      </c>
      <c r="E144" s="1">
        <f>'Tramos_red'!M15*'Tramos_red'!V15*'Tramos_red'!AA15</f>
        <v>0.0</v>
      </c>
      <c r="F144" s="1">
        <f>IF(E144&gt;'Resumen'!$B$14,'Tramos_red'!J15,"")</f>
        <v/>
      </c>
      <c r="G144" s="1">
        <f>IF(E144&gt;'Resumen'!$B$14,'Tramos_red'!I15,"")</f>
        <v/>
      </c>
      <c r="H144" s="1">
        <f>IF(E144&gt;'Resumen'!$B$14,'Tramos_red'!K15,"")</f>
        <v/>
      </c>
      <c r="I144" s="1">
        <f>IF(E144&gt;'Resumen'!$B$14,'Tramos_red'!L15,"")</f>
        <v/>
      </c>
      <c r="J144" s="6">
        <f>IF(E144&gt;'Resumen'!$B$14,'Tramos_red'!AA15,0)</f>
        <v>0</v>
      </c>
      <c r="K144" s="6">
        <f>IF(E144&gt;'Resumen'!$B$14,'Tramos_red'!V15,0)</f>
        <v>0</v>
      </c>
      <c r="L144" s="1">
        <f>J144*'Entradas'!B13</f>
        <v>0</v>
      </c>
      <c r="M144" s="1">
        <f>K144*'Entradas'!B14</f>
        <v>0</v>
      </c>
      <c r="N144" s="1">
        <f>IF(E144&gt;'Resumen'!$B$14,'Tramos_red'!P15,0)</f>
        <v>0</v>
      </c>
      <c r="O144" s="1">
        <f>IF(E144&gt;'Resumen'!$B$14,'Tramos_red'!Q15,0)</f>
        <v>0</v>
      </c>
      <c r="P144" s="1">
        <f>IF(E144&gt;'Resumen'!$B$14,'Tramos_red'!R15,0)</f>
        <v>0</v>
      </c>
      <c r="Q144" s="1">
        <f>IF(E144&lt;='Resumen'!$B$14,0,IF('Entradas'!$B$5=0,"sin U",IF(P144=0,"infinita",E144/('Entradas'!$B$5*P144))))</f>
        <v>0</v>
      </c>
    </row>
    <row r="145" spans="1:17" ht="21" customHeight="1">
      <c r="A145" s="4" t="s">
        <v>244</v>
      </c>
      <c r="B145" s="1">
        <v>12</v>
      </c>
      <c r="C145" s="4" t="str">
        <f>'Entradas'!A14</f>
        <v>C4</v>
      </c>
      <c r="D145" s="4" t="str">
        <f>'Entradas'!A11</f>
        <v>H1</v>
      </c>
      <c r="E145" s="1">
        <f>'Tramos_red'!M15*'Tramos_red'!W15*'Tramos_red'!X15</f>
        <v>0.0</v>
      </c>
      <c r="F145" s="1">
        <f>IF(E145&gt;'Resumen'!$B$14,'Tramos_red'!J15,"")</f>
        <v/>
      </c>
      <c r="G145" s="1">
        <f>IF(E145&gt;'Resumen'!$B$14,'Tramos_red'!I15,"")</f>
        <v/>
      </c>
      <c r="H145" s="1">
        <f>IF(E145&gt;'Resumen'!$B$14,'Tramos_red'!K15,"")</f>
        <v/>
      </c>
      <c r="I145" s="1">
        <f>IF(E145&gt;'Resumen'!$B$14,'Tramos_red'!L15,"")</f>
        <v/>
      </c>
      <c r="J145" s="6">
        <f>IF(E145&gt;'Resumen'!$B$14,'Tramos_red'!X15,0)</f>
        <v>0</v>
      </c>
      <c r="K145" s="6">
        <f>IF(E145&gt;'Resumen'!$B$14,'Tramos_red'!W15,0)</f>
        <v>0</v>
      </c>
      <c r="L145" s="1">
        <f>J145*'Entradas'!B14</f>
        <v>0</v>
      </c>
      <c r="M145" s="1">
        <f>K145*'Entradas'!B11</f>
        <v>0</v>
      </c>
      <c r="N145" s="1">
        <f>IF(E145&gt;'Resumen'!$B$14,'Tramos_red'!P15,0)</f>
        <v>0</v>
      </c>
      <c r="O145" s="1">
        <f>IF(E145&gt;'Resumen'!$B$14,'Tramos_red'!Q15,0)</f>
        <v>0</v>
      </c>
      <c r="P145" s="1">
        <f>IF(E145&gt;'Resumen'!$B$14,'Tramos_red'!R15,0)</f>
        <v>0</v>
      </c>
      <c r="Q145" s="1">
        <f>IF(E145&lt;='Resumen'!$B$14,0,IF('Entradas'!$B$5=0,"sin U",IF(P145=0,"infinita",E145/('Entradas'!$B$5*P145))))</f>
        <v>0</v>
      </c>
    </row>
    <row r="146" spans="1:17" ht="21" customHeight="1">
      <c r="A146" s="4" t="s">
        <v>245</v>
      </c>
      <c r="B146" s="1">
        <v>12</v>
      </c>
      <c r="C146" s="4" t="str">
        <f>'Entradas'!A14</f>
        <v>C4</v>
      </c>
      <c r="D146" s="4" t="str">
        <f>'Entradas'!A12</f>
        <v>H2</v>
      </c>
      <c r="E146" s="1">
        <f>'Tramos_red'!M15*'Tramos_red'!W15*'Tramos_red'!Y15</f>
        <v>0.0</v>
      </c>
      <c r="F146" s="1">
        <f>IF(E146&gt;'Resumen'!$B$14,'Tramos_red'!J15,"")</f>
        <v/>
      </c>
      <c r="G146" s="1">
        <f>IF(E146&gt;'Resumen'!$B$14,'Tramos_red'!I15,"")</f>
        <v/>
      </c>
      <c r="H146" s="1">
        <f>IF(E146&gt;'Resumen'!$B$14,'Tramos_red'!K15,"")</f>
        <v/>
      </c>
      <c r="I146" s="1">
        <f>IF(E146&gt;'Resumen'!$B$14,'Tramos_red'!L15,"")</f>
        <v/>
      </c>
      <c r="J146" s="6">
        <f>IF(E146&gt;'Resumen'!$B$14,'Tramos_red'!Y15,0)</f>
        <v>0</v>
      </c>
      <c r="K146" s="6">
        <f>IF(E146&gt;'Resumen'!$B$14,'Tramos_red'!W15,0)</f>
        <v>0</v>
      </c>
      <c r="L146" s="1">
        <f>J146*'Entradas'!B14</f>
        <v>0</v>
      </c>
      <c r="M146" s="1">
        <f>K146*'Entradas'!B12</f>
        <v>0</v>
      </c>
      <c r="N146" s="1">
        <f>IF(E146&gt;'Resumen'!$B$14,'Tramos_red'!P15,0)</f>
        <v>0</v>
      </c>
      <c r="O146" s="1">
        <f>IF(E146&gt;'Resumen'!$B$14,'Tramos_red'!Q15,0)</f>
        <v>0</v>
      </c>
      <c r="P146" s="1">
        <f>IF(E146&gt;'Resumen'!$B$14,'Tramos_red'!R15,0)</f>
        <v>0</v>
      </c>
      <c r="Q146" s="1">
        <f>IF(E146&lt;='Resumen'!$B$14,0,IF('Entradas'!$B$5=0,"sin U",IF(P146=0,"infinita",E146/('Entradas'!$B$5*P146))))</f>
        <v>0</v>
      </c>
    </row>
    <row r="147" spans="1:17" ht="21" customHeight="1">
      <c r="A147" s="4" t="s">
        <v>246</v>
      </c>
      <c r="B147" s="1">
        <v>12</v>
      </c>
      <c r="C147" s="4" t="str">
        <f>'Entradas'!A14</f>
        <v>C4</v>
      </c>
      <c r="D147" s="4" t="str">
        <f>'Entradas'!A13</f>
        <v>C3</v>
      </c>
      <c r="E147" s="1">
        <f>'Tramos_red'!M15*'Tramos_red'!W15*'Tramos_red'!Z15</f>
        <v>0.0</v>
      </c>
      <c r="F147" s="1">
        <f>IF(E147&gt;'Resumen'!$B$14,'Tramos_red'!J15,"")</f>
        <v/>
      </c>
      <c r="G147" s="1">
        <f>IF(E147&gt;'Resumen'!$B$14,'Tramos_red'!I15,"")</f>
        <v/>
      </c>
      <c r="H147" s="1">
        <f>IF(E147&gt;'Resumen'!$B$14,'Tramos_red'!K15,"")</f>
        <v/>
      </c>
      <c r="I147" s="1">
        <f>IF(E147&gt;'Resumen'!$B$14,'Tramos_red'!L15,"")</f>
        <v/>
      </c>
      <c r="J147" s="6">
        <f>IF(E147&gt;'Resumen'!$B$14,'Tramos_red'!Z15,0)</f>
        <v>0</v>
      </c>
      <c r="K147" s="6">
        <f>IF(E147&gt;'Resumen'!$B$14,'Tramos_red'!W15,0)</f>
        <v>0</v>
      </c>
      <c r="L147" s="1">
        <f>J147*'Entradas'!B14</f>
        <v>0</v>
      </c>
      <c r="M147" s="1">
        <f>K147*'Entradas'!B13</f>
        <v>0</v>
      </c>
      <c r="N147" s="1">
        <f>IF(E147&gt;'Resumen'!$B$14,'Tramos_red'!P15,0)</f>
        <v>0</v>
      </c>
      <c r="O147" s="1">
        <f>IF(E147&gt;'Resumen'!$B$14,'Tramos_red'!Q15,0)</f>
        <v>0</v>
      </c>
      <c r="P147" s="1">
        <f>IF(E147&gt;'Resumen'!$B$14,'Tramos_red'!R15,0)</f>
        <v>0</v>
      </c>
      <c r="Q147" s="1">
        <f>IF(E147&lt;='Resumen'!$B$14,0,IF('Entradas'!$B$5=0,"sin U",IF(P147=0,"infinita",E147/('Entradas'!$B$5*P147))))</f>
        <v>0</v>
      </c>
    </row>
    <row r="148" spans="1:17" ht="21" customHeight="1">
      <c r="A148" s="4" t="s">
        <v>247</v>
      </c>
      <c r="B148" s="1">
        <v>13</v>
      </c>
      <c r="C148" s="4" t="str">
        <f>'Entradas'!A11</f>
        <v>H1</v>
      </c>
      <c r="D148" s="4" t="str">
        <f>'Entradas'!A12</f>
        <v>H2</v>
      </c>
      <c r="E148" s="1">
        <f>'Tramos_red'!M16*'Tramos_red'!T16*'Tramos_red'!Y16</f>
        <v>0.0</v>
      </c>
      <c r="F148" s="1">
        <f>IF(E148&gt;'Resumen'!$B$14,'Tramos_red'!J16,"")</f>
        <v/>
      </c>
      <c r="G148" s="1">
        <f>IF(E148&gt;'Resumen'!$B$14,'Tramos_red'!I16,"")</f>
        <v/>
      </c>
      <c r="H148" s="1">
        <f>IF(E148&gt;'Resumen'!$B$14,'Tramos_red'!K16,"")</f>
        <v/>
      </c>
      <c r="I148" s="1">
        <f>IF(E148&gt;'Resumen'!$B$14,'Tramos_red'!L16,"")</f>
        <v/>
      </c>
      <c r="J148" s="6">
        <f>IF(E148&gt;'Resumen'!$B$14,'Tramos_red'!Y16,0)</f>
        <v>0</v>
      </c>
      <c r="K148" s="6">
        <f>IF(E148&gt;'Resumen'!$B$14,'Tramos_red'!T16,0)</f>
        <v>0</v>
      </c>
      <c r="L148" s="1">
        <f>J148*'Entradas'!B11</f>
        <v>0</v>
      </c>
      <c r="M148" s="1">
        <f>K148*'Entradas'!B12</f>
        <v>0</v>
      </c>
      <c r="N148" s="1">
        <f>IF(E148&gt;'Resumen'!$B$14,'Tramos_red'!P16,0)</f>
        <v>0</v>
      </c>
      <c r="O148" s="1">
        <f>IF(E148&gt;'Resumen'!$B$14,'Tramos_red'!Q16,0)</f>
        <v>0</v>
      </c>
      <c r="P148" s="1">
        <f>IF(E148&gt;'Resumen'!$B$14,'Tramos_red'!R16,0)</f>
        <v>0</v>
      </c>
      <c r="Q148" s="1">
        <f>IF(E148&lt;='Resumen'!$B$14,0,IF('Entradas'!$B$5=0,"sin U",IF(P148=0,"infinita",E148/('Entradas'!$B$5*P148))))</f>
        <v>0</v>
      </c>
    </row>
    <row r="149" spans="1:17" ht="21" customHeight="1">
      <c r="A149" s="4" t="s">
        <v>248</v>
      </c>
      <c r="B149" s="1">
        <v>13</v>
      </c>
      <c r="C149" s="4" t="str">
        <f>'Entradas'!A11</f>
        <v>H1</v>
      </c>
      <c r="D149" s="4" t="str">
        <f>'Entradas'!A13</f>
        <v>C3</v>
      </c>
      <c r="E149" s="1">
        <f>'Tramos_red'!M16*'Tramos_red'!T16*'Tramos_red'!Z16</f>
        <v>0.0</v>
      </c>
      <c r="F149" s="1">
        <f>IF(E149&gt;'Resumen'!$B$14,'Tramos_red'!J16,"")</f>
        <v/>
      </c>
      <c r="G149" s="1">
        <f>IF(E149&gt;'Resumen'!$B$14,'Tramos_red'!I16,"")</f>
        <v/>
      </c>
      <c r="H149" s="1">
        <f>IF(E149&gt;'Resumen'!$B$14,'Tramos_red'!K16,"")</f>
        <v/>
      </c>
      <c r="I149" s="1">
        <f>IF(E149&gt;'Resumen'!$B$14,'Tramos_red'!L16,"")</f>
        <v/>
      </c>
      <c r="J149" s="6">
        <f>IF(E149&gt;'Resumen'!$B$14,'Tramos_red'!Z16,0)</f>
        <v>0</v>
      </c>
      <c r="K149" s="6">
        <f>IF(E149&gt;'Resumen'!$B$14,'Tramos_red'!T16,0)</f>
        <v>0</v>
      </c>
      <c r="L149" s="1">
        <f>J149*'Entradas'!B11</f>
        <v>0</v>
      </c>
      <c r="M149" s="1">
        <f>K149*'Entradas'!B13</f>
        <v>0</v>
      </c>
      <c r="N149" s="1">
        <f>IF(E149&gt;'Resumen'!$B$14,'Tramos_red'!P16,0)</f>
        <v>0</v>
      </c>
      <c r="O149" s="1">
        <f>IF(E149&gt;'Resumen'!$B$14,'Tramos_red'!Q16,0)</f>
        <v>0</v>
      </c>
      <c r="P149" s="1">
        <f>IF(E149&gt;'Resumen'!$B$14,'Tramos_red'!R16,0)</f>
        <v>0</v>
      </c>
      <c r="Q149" s="1">
        <f>IF(E149&lt;='Resumen'!$B$14,0,IF('Entradas'!$B$5=0,"sin U",IF(P149=0,"infinita",E149/('Entradas'!$B$5*P149))))</f>
        <v>0</v>
      </c>
    </row>
    <row r="150" spans="1:17" ht="21" customHeight="1">
      <c r="A150" s="4" t="s">
        <v>249</v>
      </c>
      <c r="B150" s="1">
        <v>13</v>
      </c>
      <c r="C150" s="4" t="str">
        <f>'Entradas'!A11</f>
        <v>H1</v>
      </c>
      <c r="D150" s="4" t="str">
        <f>'Entradas'!A14</f>
        <v>C4</v>
      </c>
      <c r="E150" s="1">
        <f>'Tramos_red'!M16*'Tramos_red'!T16*'Tramos_red'!AA16</f>
        <v>0.0</v>
      </c>
      <c r="F150" s="1">
        <f>IF(E150&gt;'Resumen'!$B$14,'Tramos_red'!J16,"")</f>
        <v/>
      </c>
      <c r="G150" s="1">
        <f>IF(E150&gt;'Resumen'!$B$14,'Tramos_red'!I16,"")</f>
        <v/>
      </c>
      <c r="H150" s="1">
        <f>IF(E150&gt;'Resumen'!$B$14,'Tramos_red'!K16,"")</f>
        <v/>
      </c>
      <c r="I150" s="1">
        <f>IF(E150&gt;'Resumen'!$B$14,'Tramos_red'!L16,"")</f>
        <v/>
      </c>
      <c r="J150" s="6">
        <f>IF(E150&gt;'Resumen'!$B$14,'Tramos_red'!AA16,0)</f>
        <v>0</v>
      </c>
      <c r="K150" s="6">
        <f>IF(E150&gt;'Resumen'!$B$14,'Tramos_red'!T16,0)</f>
        <v>0</v>
      </c>
      <c r="L150" s="1">
        <f>J150*'Entradas'!B11</f>
        <v>0</v>
      </c>
      <c r="M150" s="1">
        <f>K150*'Entradas'!B14</f>
        <v>0</v>
      </c>
      <c r="N150" s="1">
        <f>IF(E150&gt;'Resumen'!$B$14,'Tramos_red'!P16,0)</f>
        <v>0</v>
      </c>
      <c r="O150" s="1">
        <f>IF(E150&gt;'Resumen'!$B$14,'Tramos_red'!Q16,0)</f>
        <v>0</v>
      </c>
      <c r="P150" s="1">
        <f>IF(E150&gt;'Resumen'!$B$14,'Tramos_red'!R16,0)</f>
        <v>0</v>
      </c>
      <c r="Q150" s="1">
        <f>IF(E150&lt;='Resumen'!$B$14,0,IF('Entradas'!$B$5=0,"sin U",IF(P150=0,"infinita",E150/('Entradas'!$B$5*P150))))</f>
        <v>0</v>
      </c>
    </row>
    <row r="151" spans="1:17" ht="21" customHeight="1">
      <c r="A151" s="4" t="s">
        <v>250</v>
      </c>
      <c r="B151" s="1">
        <v>13</v>
      </c>
      <c r="C151" s="4" t="str">
        <f>'Entradas'!A12</f>
        <v>H2</v>
      </c>
      <c r="D151" s="4" t="str">
        <f>'Entradas'!A11</f>
        <v>H1</v>
      </c>
      <c r="E151" s="1">
        <f>'Tramos_red'!M16*'Tramos_red'!U16*'Tramos_red'!X16</f>
        <v>0.0</v>
      </c>
      <c r="F151" s="1">
        <f>IF(E151&gt;'Resumen'!$B$14,'Tramos_red'!J16,"")</f>
        <v/>
      </c>
      <c r="G151" s="1">
        <f>IF(E151&gt;'Resumen'!$B$14,'Tramos_red'!I16,"")</f>
        <v/>
      </c>
      <c r="H151" s="1">
        <f>IF(E151&gt;'Resumen'!$B$14,'Tramos_red'!K16,"")</f>
        <v/>
      </c>
      <c r="I151" s="1">
        <f>IF(E151&gt;'Resumen'!$B$14,'Tramos_red'!L16,"")</f>
        <v/>
      </c>
      <c r="J151" s="6">
        <f>IF(E151&gt;'Resumen'!$B$14,'Tramos_red'!X16,0)</f>
        <v>0</v>
      </c>
      <c r="K151" s="6">
        <f>IF(E151&gt;'Resumen'!$B$14,'Tramos_red'!U16,0)</f>
        <v>0</v>
      </c>
      <c r="L151" s="1">
        <f>J151*'Entradas'!B12</f>
        <v>0</v>
      </c>
      <c r="M151" s="1">
        <f>K151*'Entradas'!B11</f>
        <v>0</v>
      </c>
      <c r="N151" s="1">
        <f>IF(E151&gt;'Resumen'!$B$14,'Tramos_red'!P16,0)</f>
        <v>0</v>
      </c>
      <c r="O151" s="1">
        <f>IF(E151&gt;'Resumen'!$B$14,'Tramos_red'!Q16,0)</f>
        <v>0</v>
      </c>
      <c r="P151" s="1">
        <f>IF(E151&gt;'Resumen'!$B$14,'Tramos_red'!R16,0)</f>
        <v>0</v>
      </c>
      <c r="Q151" s="1">
        <f>IF(E151&lt;='Resumen'!$B$14,0,IF('Entradas'!$B$5=0,"sin U",IF(P151=0,"infinita",E151/('Entradas'!$B$5*P151))))</f>
        <v>0</v>
      </c>
    </row>
    <row r="152" spans="1:17" ht="21" customHeight="1">
      <c r="A152" s="4" t="s">
        <v>251</v>
      </c>
      <c r="B152" s="1">
        <v>13</v>
      </c>
      <c r="C152" s="4" t="str">
        <f>'Entradas'!A12</f>
        <v>H2</v>
      </c>
      <c r="D152" s="4" t="str">
        <f>'Entradas'!A13</f>
        <v>C3</v>
      </c>
      <c r="E152" s="1">
        <f>'Tramos_red'!M16*'Tramos_red'!U16*'Tramos_red'!Z16</f>
        <v>0.0</v>
      </c>
      <c r="F152" s="1">
        <f>IF(E152&gt;'Resumen'!$B$14,'Tramos_red'!J16,"")</f>
        <v/>
      </c>
      <c r="G152" s="1">
        <f>IF(E152&gt;'Resumen'!$B$14,'Tramos_red'!I16,"")</f>
        <v/>
      </c>
      <c r="H152" s="1">
        <f>IF(E152&gt;'Resumen'!$B$14,'Tramos_red'!K16,"")</f>
        <v/>
      </c>
      <c r="I152" s="1">
        <f>IF(E152&gt;'Resumen'!$B$14,'Tramos_red'!L16,"")</f>
        <v/>
      </c>
      <c r="J152" s="6">
        <f>IF(E152&gt;'Resumen'!$B$14,'Tramos_red'!Z16,0)</f>
        <v>0</v>
      </c>
      <c r="K152" s="6">
        <f>IF(E152&gt;'Resumen'!$B$14,'Tramos_red'!U16,0)</f>
        <v>0</v>
      </c>
      <c r="L152" s="1">
        <f>J152*'Entradas'!B12</f>
        <v>0</v>
      </c>
      <c r="M152" s="1">
        <f>K152*'Entradas'!B13</f>
        <v>0</v>
      </c>
      <c r="N152" s="1">
        <f>IF(E152&gt;'Resumen'!$B$14,'Tramos_red'!P16,0)</f>
        <v>0</v>
      </c>
      <c r="O152" s="1">
        <f>IF(E152&gt;'Resumen'!$B$14,'Tramos_red'!Q16,0)</f>
        <v>0</v>
      </c>
      <c r="P152" s="1">
        <f>IF(E152&gt;'Resumen'!$B$14,'Tramos_red'!R16,0)</f>
        <v>0</v>
      </c>
      <c r="Q152" s="1">
        <f>IF(E152&lt;='Resumen'!$B$14,0,IF('Entradas'!$B$5=0,"sin U",IF(P152=0,"infinita",E152/('Entradas'!$B$5*P152))))</f>
        <v>0</v>
      </c>
    </row>
    <row r="153" spans="1:17" ht="21" customHeight="1">
      <c r="A153" s="4" t="s">
        <v>252</v>
      </c>
      <c r="B153" s="1">
        <v>13</v>
      </c>
      <c r="C153" s="4" t="str">
        <f>'Entradas'!A12</f>
        <v>H2</v>
      </c>
      <c r="D153" s="4" t="str">
        <f>'Entradas'!A14</f>
        <v>C4</v>
      </c>
      <c r="E153" s="1">
        <f>'Tramos_red'!M16*'Tramos_red'!U16*'Tramos_red'!AA16</f>
        <v>0.0</v>
      </c>
      <c r="F153" s="1">
        <f>IF(E153&gt;'Resumen'!$B$14,'Tramos_red'!J16,"")</f>
        <v/>
      </c>
      <c r="G153" s="1">
        <f>IF(E153&gt;'Resumen'!$B$14,'Tramos_red'!I16,"")</f>
        <v/>
      </c>
      <c r="H153" s="1">
        <f>IF(E153&gt;'Resumen'!$B$14,'Tramos_red'!K16,"")</f>
        <v/>
      </c>
      <c r="I153" s="1">
        <f>IF(E153&gt;'Resumen'!$B$14,'Tramos_red'!L16,"")</f>
        <v/>
      </c>
      <c r="J153" s="6">
        <f>IF(E153&gt;'Resumen'!$B$14,'Tramos_red'!AA16,0)</f>
        <v>0</v>
      </c>
      <c r="K153" s="6">
        <f>IF(E153&gt;'Resumen'!$B$14,'Tramos_red'!U16,0)</f>
        <v>0</v>
      </c>
      <c r="L153" s="1">
        <f>J153*'Entradas'!B12</f>
        <v>0</v>
      </c>
      <c r="M153" s="1">
        <f>K153*'Entradas'!B14</f>
        <v>0</v>
      </c>
      <c r="N153" s="1">
        <f>IF(E153&gt;'Resumen'!$B$14,'Tramos_red'!P16,0)</f>
        <v>0</v>
      </c>
      <c r="O153" s="1">
        <f>IF(E153&gt;'Resumen'!$B$14,'Tramos_red'!Q16,0)</f>
        <v>0</v>
      </c>
      <c r="P153" s="1">
        <f>IF(E153&gt;'Resumen'!$B$14,'Tramos_red'!R16,0)</f>
        <v>0</v>
      </c>
      <c r="Q153" s="1">
        <f>IF(E153&lt;='Resumen'!$B$14,0,IF('Entradas'!$B$5=0,"sin U",IF(P153=0,"infinita",E153/('Entradas'!$B$5*P153))))</f>
        <v>0</v>
      </c>
    </row>
    <row r="154" spans="1:17" ht="21" customHeight="1">
      <c r="A154" s="4" t="s">
        <v>253</v>
      </c>
      <c r="B154" s="1">
        <v>13</v>
      </c>
      <c r="C154" s="4" t="str">
        <f>'Entradas'!A13</f>
        <v>C3</v>
      </c>
      <c r="D154" s="4" t="str">
        <f>'Entradas'!A11</f>
        <v>H1</v>
      </c>
      <c r="E154" s="1">
        <f>'Tramos_red'!M16*'Tramos_red'!V16*'Tramos_red'!X16</f>
        <v>0.0</v>
      </c>
      <c r="F154" s="1">
        <f>IF(E154&gt;'Resumen'!$B$14,'Tramos_red'!J16,"")</f>
        <v/>
      </c>
      <c r="G154" s="1">
        <f>IF(E154&gt;'Resumen'!$B$14,'Tramos_red'!I16,"")</f>
        <v/>
      </c>
      <c r="H154" s="1">
        <f>IF(E154&gt;'Resumen'!$B$14,'Tramos_red'!K16,"")</f>
        <v/>
      </c>
      <c r="I154" s="1">
        <f>IF(E154&gt;'Resumen'!$B$14,'Tramos_red'!L16,"")</f>
        <v/>
      </c>
      <c r="J154" s="6">
        <f>IF(E154&gt;'Resumen'!$B$14,'Tramos_red'!X16,0)</f>
        <v>0</v>
      </c>
      <c r="K154" s="6">
        <f>IF(E154&gt;'Resumen'!$B$14,'Tramos_red'!V16,0)</f>
        <v>0</v>
      </c>
      <c r="L154" s="1">
        <f>J154*'Entradas'!B13</f>
        <v>0</v>
      </c>
      <c r="M154" s="1">
        <f>K154*'Entradas'!B11</f>
        <v>0</v>
      </c>
      <c r="N154" s="1">
        <f>IF(E154&gt;'Resumen'!$B$14,'Tramos_red'!P16,0)</f>
        <v>0</v>
      </c>
      <c r="O154" s="1">
        <f>IF(E154&gt;'Resumen'!$B$14,'Tramos_red'!Q16,0)</f>
        <v>0</v>
      </c>
      <c r="P154" s="1">
        <f>IF(E154&gt;'Resumen'!$B$14,'Tramos_red'!R16,0)</f>
        <v>0</v>
      </c>
      <c r="Q154" s="1">
        <f>IF(E154&lt;='Resumen'!$B$14,0,IF('Entradas'!$B$5=0,"sin U",IF(P154=0,"infinita",E154/('Entradas'!$B$5*P154))))</f>
        <v>0</v>
      </c>
    </row>
    <row r="155" spans="1:17" ht="21" customHeight="1">
      <c r="A155" s="4" t="s">
        <v>254</v>
      </c>
      <c r="B155" s="1">
        <v>13</v>
      </c>
      <c r="C155" s="4" t="str">
        <f>'Entradas'!A13</f>
        <v>C3</v>
      </c>
      <c r="D155" s="4" t="str">
        <f>'Entradas'!A12</f>
        <v>H2</v>
      </c>
      <c r="E155" s="1">
        <f>'Tramos_red'!M16*'Tramos_red'!V16*'Tramos_red'!Y16</f>
        <v>0.0</v>
      </c>
      <c r="F155" s="1">
        <f>IF(E155&gt;'Resumen'!$B$14,'Tramos_red'!J16,"")</f>
        <v/>
      </c>
      <c r="G155" s="1">
        <f>IF(E155&gt;'Resumen'!$B$14,'Tramos_red'!I16,"")</f>
        <v/>
      </c>
      <c r="H155" s="1">
        <f>IF(E155&gt;'Resumen'!$B$14,'Tramos_red'!K16,"")</f>
        <v/>
      </c>
      <c r="I155" s="1">
        <f>IF(E155&gt;'Resumen'!$B$14,'Tramos_red'!L16,"")</f>
        <v/>
      </c>
      <c r="J155" s="6">
        <f>IF(E155&gt;'Resumen'!$B$14,'Tramos_red'!Y16,0)</f>
        <v>0</v>
      </c>
      <c r="K155" s="6">
        <f>IF(E155&gt;'Resumen'!$B$14,'Tramos_red'!V16,0)</f>
        <v>0</v>
      </c>
      <c r="L155" s="1">
        <f>J155*'Entradas'!B13</f>
        <v>0</v>
      </c>
      <c r="M155" s="1">
        <f>K155*'Entradas'!B12</f>
        <v>0</v>
      </c>
      <c r="N155" s="1">
        <f>IF(E155&gt;'Resumen'!$B$14,'Tramos_red'!P16,0)</f>
        <v>0</v>
      </c>
      <c r="O155" s="1">
        <f>IF(E155&gt;'Resumen'!$B$14,'Tramos_red'!Q16,0)</f>
        <v>0</v>
      </c>
      <c r="P155" s="1">
        <f>IF(E155&gt;'Resumen'!$B$14,'Tramos_red'!R16,0)</f>
        <v>0</v>
      </c>
      <c r="Q155" s="1">
        <f>IF(E155&lt;='Resumen'!$B$14,0,IF('Entradas'!$B$5=0,"sin U",IF(P155=0,"infinita",E155/('Entradas'!$B$5*P155))))</f>
        <v>0</v>
      </c>
    </row>
    <row r="156" spans="1:17" ht="21" customHeight="1">
      <c r="A156" s="4" t="s">
        <v>255</v>
      </c>
      <c r="B156" s="1">
        <v>13</v>
      </c>
      <c r="C156" s="4" t="str">
        <f>'Entradas'!A13</f>
        <v>C3</v>
      </c>
      <c r="D156" s="4" t="str">
        <f>'Entradas'!A14</f>
        <v>C4</v>
      </c>
      <c r="E156" s="1">
        <f>'Tramos_red'!M16*'Tramos_red'!V16*'Tramos_red'!AA16</f>
        <v>0.0</v>
      </c>
      <c r="F156" s="1">
        <f>IF(E156&gt;'Resumen'!$B$14,'Tramos_red'!J16,"")</f>
        <v/>
      </c>
      <c r="G156" s="1">
        <f>IF(E156&gt;'Resumen'!$B$14,'Tramos_red'!I16,"")</f>
        <v/>
      </c>
      <c r="H156" s="1">
        <f>IF(E156&gt;'Resumen'!$B$14,'Tramos_red'!K16,"")</f>
        <v/>
      </c>
      <c r="I156" s="1">
        <f>IF(E156&gt;'Resumen'!$B$14,'Tramos_red'!L16,"")</f>
        <v/>
      </c>
      <c r="J156" s="6">
        <f>IF(E156&gt;'Resumen'!$B$14,'Tramos_red'!AA16,0)</f>
        <v>0</v>
      </c>
      <c r="K156" s="6">
        <f>IF(E156&gt;'Resumen'!$B$14,'Tramos_red'!V16,0)</f>
        <v>0</v>
      </c>
      <c r="L156" s="1">
        <f>J156*'Entradas'!B13</f>
        <v>0</v>
      </c>
      <c r="M156" s="1">
        <f>K156*'Entradas'!B14</f>
        <v>0</v>
      </c>
      <c r="N156" s="1">
        <f>IF(E156&gt;'Resumen'!$B$14,'Tramos_red'!P16,0)</f>
        <v>0</v>
      </c>
      <c r="O156" s="1">
        <f>IF(E156&gt;'Resumen'!$B$14,'Tramos_red'!Q16,0)</f>
        <v>0</v>
      </c>
      <c r="P156" s="1">
        <f>IF(E156&gt;'Resumen'!$B$14,'Tramos_red'!R16,0)</f>
        <v>0</v>
      </c>
      <c r="Q156" s="1">
        <f>IF(E156&lt;='Resumen'!$B$14,0,IF('Entradas'!$B$5=0,"sin U",IF(P156=0,"infinita",E156/('Entradas'!$B$5*P156))))</f>
        <v>0</v>
      </c>
    </row>
    <row r="157" spans="1:17" ht="21" customHeight="1">
      <c r="A157" s="4" t="s">
        <v>256</v>
      </c>
      <c r="B157" s="1">
        <v>13</v>
      </c>
      <c r="C157" s="4" t="str">
        <f>'Entradas'!A14</f>
        <v>C4</v>
      </c>
      <c r="D157" s="4" t="str">
        <f>'Entradas'!A11</f>
        <v>H1</v>
      </c>
      <c r="E157" s="1">
        <f>'Tramos_red'!M16*'Tramos_red'!W16*'Tramos_red'!X16</f>
        <v>0.0</v>
      </c>
      <c r="F157" s="1">
        <f>IF(E157&gt;'Resumen'!$B$14,'Tramos_red'!J16,"")</f>
        <v/>
      </c>
      <c r="G157" s="1">
        <f>IF(E157&gt;'Resumen'!$B$14,'Tramos_red'!I16,"")</f>
        <v/>
      </c>
      <c r="H157" s="1">
        <f>IF(E157&gt;'Resumen'!$B$14,'Tramos_red'!K16,"")</f>
        <v/>
      </c>
      <c r="I157" s="1">
        <f>IF(E157&gt;'Resumen'!$B$14,'Tramos_red'!L16,"")</f>
        <v/>
      </c>
      <c r="J157" s="6">
        <f>IF(E157&gt;'Resumen'!$B$14,'Tramos_red'!X16,0)</f>
        <v>0</v>
      </c>
      <c r="K157" s="6">
        <f>IF(E157&gt;'Resumen'!$B$14,'Tramos_red'!W16,0)</f>
        <v>0</v>
      </c>
      <c r="L157" s="1">
        <f>J157*'Entradas'!B14</f>
        <v>0</v>
      </c>
      <c r="M157" s="1">
        <f>K157*'Entradas'!B11</f>
        <v>0</v>
      </c>
      <c r="N157" s="1">
        <f>IF(E157&gt;'Resumen'!$B$14,'Tramos_red'!P16,0)</f>
        <v>0</v>
      </c>
      <c r="O157" s="1">
        <f>IF(E157&gt;'Resumen'!$B$14,'Tramos_red'!Q16,0)</f>
        <v>0</v>
      </c>
      <c r="P157" s="1">
        <f>IF(E157&gt;'Resumen'!$B$14,'Tramos_red'!R16,0)</f>
        <v>0</v>
      </c>
      <c r="Q157" s="1">
        <f>IF(E157&lt;='Resumen'!$B$14,0,IF('Entradas'!$B$5=0,"sin U",IF(P157=0,"infinita",E157/('Entradas'!$B$5*P157))))</f>
        <v>0</v>
      </c>
    </row>
    <row r="158" spans="1:17" ht="21" customHeight="1">
      <c r="A158" s="4" t="s">
        <v>257</v>
      </c>
      <c r="B158" s="1">
        <v>13</v>
      </c>
      <c r="C158" s="4" t="str">
        <f>'Entradas'!A14</f>
        <v>C4</v>
      </c>
      <c r="D158" s="4" t="str">
        <f>'Entradas'!A12</f>
        <v>H2</v>
      </c>
      <c r="E158" s="1">
        <f>'Tramos_red'!M16*'Tramos_red'!W16*'Tramos_red'!Y16</f>
        <v>0.0</v>
      </c>
      <c r="F158" s="1">
        <f>IF(E158&gt;'Resumen'!$B$14,'Tramos_red'!J16,"")</f>
        <v/>
      </c>
      <c r="G158" s="1">
        <f>IF(E158&gt;'Resumen'!$B$14,'Tramos_red'!I16,"")</f>
        <v/>
      </c>
      <c r="H158" s="1">
        <f>IF(E158&gt;'Resumen'!$B$14,'Tramos_red'!K16,"")</f>
        <v/>
      </c>
      <c r="I158" s="1">
        <f>IF(E158&gt;'Resumen'!$B$14,'Tramos_red'!L16,"")</f>
        <v/>
      </c>
      <c r="J158" s="6">
        <f>IF(E158&gt;'Resumen'!$B$14,'Tramos_red'!Y16,0)</f>
        <v>0</v>
      </c>
      <c r="K158" s="6">
        <f>IF(E158&gt;'Resumen'!$B$14,'Tramos_red'!W16,0)</f>
        <v>0</v>
      </c>
      <c r="L158" s="1">
        <f>J158*'Entradas'!B14</f>
        <v>0</v>
      </c>
      <c r="M158" s="1">
        <f>K158*'Entradas'!B12</f>
        <v>0</v>
      </c>
      <c r="N158" s="1">
        <f>IF(E158&gt;'Resumen'!$B$14,'Tramos_red'!P16,0)</f>
        <v>0</v>
      </c>
      <c r="O158" s="1">
        <f>IF(E158&gt;'Resumen'!$B$14,'Tramos_red'!Q16,0)</f>
        <v>0</v>
      </c>
      <c r="P158" s="1">
        <f>IF(E158&gt;'Resumen'!$B$14,'Tramos_red'!R16,0)</f>
        <v>0</v>
      </c>
      <c r="Q158" s="1">
        <f>IF(E158&lt;='Resumen'!$B$14,0,IF('Entradas'!$B$5=0,"sin U",IF(P158=0,"infinita",E158/('Entradas'!$B$5*P158))))</f>
        <v>0</v>
      </c>
    </row>
    <row r="159" spans="1:17" ht="21" customHeight="1">
      <c r="A159" s="4" t="s">
        <v>258</v>
      </c>
      <c r="B159" s="1">
        <v>13</v>
      </c>
      <c r="C159" s="4" t="str">
        <f>'Entradas'!A14</f>
        <v>C4</v>
      </c>
      <c r="D159" s="4" t="str">
        <f>'Entradas'!A13</f>
        <v>C3</v>
      </c>
      <c r="E159" s="1">
        <f>'Tramos_red'!M16*'Tramos_red'!W16*'Tramos_red'!Z16</f>
        <v>0.0</v>
      </c>
      <c r="F159" s="1">
        <f>IF(E159&gt;'Resumen'!$B$14,'Tramos_red'!J16,"")</f>
        <v/>
      </c>
      <c r="G159" s="1">
        <f>IF(E159&gt;'Resumen'!$B$14,'Tramos_red'!I16,"")</f>
        <v/>
      </c>
      <c r="H159" s="1">
        <f>IF(E159&gt;'Resumen'!$B$14,'Tramos_red'!K16,"")</f>
        <v/>
      </c>
      <c r="I159" s="1">
        <f>IF(E159&gt;'Resumen'!$B$14,'Tramos_red'!L16,"")</f>
        <v/>
      </c>
      <c r="J159" s="6">
        <f>IF(E159&gt;'Resumen'!$B$14,'Tramos_red'!Z16,0)</f>
        <v>0</v>
      </c>
      <c r="K159" s="6">
        <f>IF(E159&gt;'Resumen'!$B$14,'Tramos_red'!W16,0)</f>
        <v>0</v>
      </c>
      <c r="L159" s="1">
        <f>J159*'Entradas'!B14</f>
        <v>0</v>
      </c>
      <c r="M159" s="1">
        <f>K159*'Entradas'!B13</f>
        <v>0</v>
      </c>
      <c r="N159" s="1">
        <f>IF(E159&gt;'Resumen'!$B$14,'Tramos_red'!P16,0)</f>
        <v>0</v>
      </c>
      <c r="O159" s="1">
        <f>IF(E159&gt;'Resumen'!$B$14,'Tramos_red'!Q16,0)</f>
        <v>0</v>
      </c>
      <c r="P159" s="1">
        <f>IF(E159&gt;'Resumen'!$B$14,'Tramos_red'!R16,0)</f>
        <v>0</v>
      </c>
      <c r="Q159" s="1">
        <f>IF(E159&lt;='Resumen'!$B$14,0,IF('Entradas'!$B$5=0,"sin U",IF(P159=0,"infinita",E159/('Entradas'!$B$5*P159))))</f>
        <v>0</v>
      </c>
    </row>
    <row r="160" spans="1:17" ht="21" customHeight="1">
      <c r="A160" s="4" t="s">
        <v>259</v>
      </c>
      <c r="B160" s="1">
        <v>14</v>
      </c>
      <c r="C160" s="4" t="str">
        <f>'Entradas'!A11</f>
        <v>H1</v>
      </c>
      <c r="D160" s="4" t="str">
        <f>'Entradas'!A12</f>
        <v>H2</v>
      </c>
      <c r="E160" s="1">
        <f>'Tramos_red'!M17*'Tramos_red'!T17*'Tramos_red'!Y17</f>
        <v>0.0</v>
      </c>
      <c r="F160" s="1">
        <f>IF(E160&gt;'Resumen'!$B$14,'Tramos_red'!J17,"")</f>
        <v/>
      </c>
      <c r="G160" s="1">
        <f>IF(E160&gt;'Resumen'!$B$14,'Tramos_red'!I17,"")</f>
        <v/>
      </c>
      <c r="H160" s="1">
        <f>IF(E160&gt;'Resumen'!$B$14,'Tramos_red'!K17,"")</f>
        <v/>
      </c>
      <c r="I160" s="1">
        <f>IF(E160&gt;'Resumen'!$B$14,'Tramos_red'!L17,"")</f>
        <v/>
      </c>
      <c r="J160" s="6">
        <f>IF(E160&gt;'Resumen'!$B$14,'Tramos_red'!Y17,0)</f>
        <v>0</v>
      </c>
      <c r="K160" s="6">
        <f>IF(E160&gt;'Resumen'!$B$14,'Tramos_red'!T17,0)</f>
        <v>0</v>
      </c>
      <c r="L160" s="1">
        <f>J160*'Entradas'!B11</f>
        <v>0</v>
      </c>
      <c r="M160" s="1">
        <f>K160*'Entradas'!B12</f>
        <v>0</v>
      </c>
      <c r="N160" s="1">
        <f>IF(E160&gt;'Resumen'!$B$14,'Tramos_red'!P17,0)</f>
        <v>0</v>
      </c>
      <c r="O160" s="1">
        <f>IF(E160&gt;'Resumen'!$B$14,'Tramos_red'!Q17,0)</f>
        <v>0</v>
      </c>
      <c r="P160" s="1">
        <f>IF(E160&gt;'Resumen'!$B$14,'Tramos_red'!R17,0)</f>
        <v>0</v>
      </c>
      <c r="Q160" s="1">
        <f>IF(E160&lt;='Resumen'!$B$14,0,IF('Entradas'!$B$5=0,"sin U",IF(P160=0,"infinita",E160/('Entradas'!$B$5*P160))))</f>
        <v>0</v>
      </c>
    </row>
    <row r="161" spans="1:17" ht="21" customHeight="1">
      <c r="A161" s="4" t="s">
        <v>260</v>
      </c>
      <c r="B161" s="1">
        <v>14</v>
      </c>
      <c r="C161" s="4" t="str">
        <f>'Entradas'!A11</f>
        <v>H1</v>
      </c>
      <c r="D161" s="4" t="str">
        <f>'Entradas'!A13</f>
        <v>C3</v>
      </c>
      <c r="E161" s="1">
        <f>'Tramos_red'!M17*'Tramos_red'!T17*'Tramos_red'!Z17</f>
        <v>0.0</v>
      </c>
      <c r="F161" s="1">
        <f>IF(E161&gt;'Resumen'!$B$14,'Tramos_red'!J17,"")</f>
        <v/>
      </c>
      <c r="G161" s="1">
        <f>IF(E161&gt;'Resumen'!$B$14,'Tramos_red'!I17,"")</f>
        <v/>
      </c>
      <c r="H161" s="1">
        <f>IF(E161&gt;'Resumen'!$B$14,'Tramos_red'!K17,"")</f>
        <v/>
      </c>
      <c r="I161" s="1">
        <f>IF(E161&gt;'Resumen'!$B$14,'Tramos_red'!L17,"")</f>
        <v/>
      </c>
      <c r="J161" s="6">
        <f>IF(E161&gt;'Resumen'!$B$14,'Tramos_red'!Z17,0)</f>
        <v>0</v>
      </c>
      <c r="K161" s="6">
        <f>IF(E161&gt;'Resumen'!$B$14,'Tramos_red'!T17,0)</f>
        <v>0</v>
      </c>
      <c r="L161" s="1">
        <f>J161*'Entradas'!B11</f>
        <v>0</v>
      </c>
      <c r="M161" s="1">
        <f>K161*'Entradas'!B13</f>
        <v>0</v>
      </c>
      <c r="N161" s="1">
        <f>IF(E161&gt;'Resumen'!$B$14,'Tramos_red'!P17,0)</f>
        <v>0</v>
      </c>
      <c r="O161" s="1">
        <f>IF(E161&gt;'Resumen'!$B$14,'Tramos_red'!Q17,0)</f>
        <v>0</v>
      </c>
      <c r="P161" s="1">
        <f>IF(E161&gt;'Resumen'!$B$14,'Tramos_red'!R17,0)</f>
        <v>0</v>
      </c>
      <c r="Q161" s="1">
        <f>IF(E161&lt;='Resumen'!$B$14,0,IF('Entradas'!$B$5=0,"sin U",IF(P161=0,"infinita",E161/('Entradas'!$B$5*P161))))</f>
        <v>0</v>
      </c>
    </row>
    <row r="162" spans="1:17" ht="21" customHeight="1">
      <c r="A162" s="4" t="s">
        <v>261</v>
      </c>
      <c r="B162" s="1">
        <v>14</v>
      </c>
      <c r="C162" s="4" t="str">
        <f>'Entradas'!A11</f>
        <v>H1</v>
      </c>
      <c r="D162" s="4" t="str">
        <f>'Entradas'!A14</f>
        <v>C4</v>
      </c>
      <c r="E162" s="1">
        <f>'Tramos_red'!M17*'Tramos_red'!T17*'Tramos_red'!AA17</f>
        <v>0.0</v>
      </c>
      <c r="F162" s="1">
        <f>IF(E162&gt;'Resumen'!$B$14,'Tramos_red'!J17,"")</f>
        <v/>
      </c>
      <c r="G162" s="1">
        <f>IF(E162&gt;'Resumen'!$B$14,'Tramos_red'!I17,"")</f>
        <v/>
      </c>
      <c r="H162" s="1">
        <f>IF(E162&gt;'Resumen'!$B$14,'Tramos_red'!K17,"")</f>
        <v/>
      </c>
      <c r="I162" s="1">
        <f>IF(E162&gt;'Resumen'!$B$14,'Tramos_red'!L17,"")</f>
        <v/>
      </c>
      <c r="J162" s="6">
        <f>IF(E162&gt;'Resumen'!$B$14,'Tramos_red'!AA17,0)</f>
        <v>0</v>
      </c>
      <c r="K162" s="6">
        <f>IF(E162&gt;'Resumen'!$B$14,'Tramos_red'!T17,0)</f>
        <v>0</v>
      </c>
      <c r="L162" s="1">
        <f>J162*'Entradas'!B11</f>
        <v>0</v>
      </c>
      <c r="M162" s="1">
        <f>K162*'Entradas'!B14</f>
        <v>0</v>
      </c>
      <c r="N162" s="1">
        <f>IF(E162&gt;'Resumen'!$B$14,'Tramos_red'!P17,0)</f>
        <v>0</v>
      </c>
      <c r="O162" s="1">
        <f>IF(E162&gt;'Resumen'!$B$14,'Tramos_red'!Q17,0)</f>
        <v>0</v>
      </c>
      <c r="P162" s="1">
        <f>IF(E162&gt;'Resumen'!$B$14,'Tramos_red'!R17,0)</f>
        <v>0</v>
      </c>
      <c r="Q162" s="1">
        <f>IF(E162&lt;='Resumen'!$B$14,0,IF('Entradas'!$B$5=0,"sin U",IF(P162=0,"infinita",E162/('Entradas'!$B$5*P162))))</f>
        <v>0</v>
      </c>
    </row>
    <row r="163" spans="1:17" ht="21" customHeight="1">
      <c r="A163" s="4" t="s">
        <v>262</v>
      </c>
      <c r="B163" s="1">
        <v>14</v>
      </c>
      <c r="C163" s="4" t="str">
        <f>'Entradas'!A12</f>
        <v>H2</v>
      </c>
      <c r="D163" s="4" t="str">
        <f>'Entradas'!A11</f>
        <v>H1</v>
      </c>
      <c r="E163" s="1">
        <f>'Tramos_red'!M17*'Tramos_red'!U17*'Tramos_red'!X17</f>
        <v>0.0</v>
      </c>
      <c r="F163" s="1">
        <f>IF(E163&gt;'Resumen'!$B$14,'Tramos_red'!J17,"")</f>
        <v/>
      </c>
      <c r="G163" s="1">
        <f>IF(E163&gt;'Resumen'!$B$14,'Tramos_red'!I17,"")</f>
        <v/>
      </c>
      <c r="H163" s="1">
        <f>IF(E163&gt;'Resumen'!$B$14,'Tramos_red'!K17,"")</f>
        <v/>
      </c>
      <c r="I163" s="1">
        <f>IF(E163&gt;'Resumen'!$B$14,'Tramos_red'!L17,"")</f>
        <v/>
      </c>
      <c r="J163" s="6">
        <f>IF(E163&gt;'Resumen'!$B$14,'Tramos_red'!X17,0)</f>
        <v>0</v>
      </c>
      <c r="K163" s="6">
        <f>IF(E163&gt;'Resumen'!$B$14,'Tramos_red'!U17,0)</f>
        <v>0</v>
      </c>
      <c r="L163" s="1">
        <f>J163*'Entradas'!B12</f>
        <v>0</v>
      </c>
      <c r="M163" s="1">
        <f>K163*'Entradas'!B11</f>
        <v>0</v>
      </c>
      <c r="N163" s="1">
        <f>IF(E163&gt;'Resumen'!$B$14,'Tramos_red'!P17,0)</f>
        <v>0</v>
      </c>
      <c r="O163" s="1">
        <f>IF(E163&gt;'Resumen'!$B$14,'Tramos_red'!Q17,0)</f>
        <v>0</v>
      </c>
      <c r="P163" s="1">
        <f>IF(E163&gt;'Resumen'!$B$14,'Tramos_red'!R17,0)</f>
        <v>0</v>
      </c>
      <c r="Q163" s="1">
        <f>IF(E163&lt;='Resumen'!$B$14,0,IF('Entradas'!$B$5=0,"sin U",IF(P163=0,"infinita",E163/('Entradas'!$B$5*P163))))</f>
        <v>0</v>
      </c>
    </row>
    <row r="164" spans="1:17" ht="21" customHeight="1">
      <c r="A164" s="4" t="s">
        <v>263</v>
      </c>
      <c r="B164" s="1">
        <v>14</v>
      </c>
      <c r="C164" s="4" t="str">
        <f>'Entradas'!A12</f>
        <v>H2</v>
      </c>
      <c r="D164" s="4" t="str">
        <f>'Entradas'!A13</f>
        <v>C3</v>
      </c>
      <c r="E164" s="1">
        <f>'Tramos_red'!M17*'Tramos_red'!U17*'Tramos_red'!Z17</f>
        <v>0.0</v>
      </c>
      <c r="F164" s="1">
        <f>IF(E164&gt;'Resumen'!$B$14,'Tramos_red'!J17,"")</f>
        <v/>
      </c>
      <c r="G164" s="1">
        <f>IF(E164&gt;'Resumen'!$B$14,'Tramos_red'!I17,"")</f>
        <v/>
      </c>
      <c r="H164" s="1">
        <f>IF(E164&gt;'Resumen'!$B$14,'Tramos_red'!K17,"")</f>
        <v/>
      </c>
      <c r="I164" s="1">
        <f>IF(E164&gt;'Resumen'!$B$14,'Tramos_red'!L17,"")</f>
        <v/>
      </c>
      <c r="J164" s="6">
        <f>IF(E164&gt;'Resumen'!$B$14,'Tramos_red'!Z17,0)</f>
        <v>0</v>
      </c>
      <c r="K164" s="6">
        <f>IF(E164&gt;'Resumen'!$B$14,'Tramos_red'!U17,0)</f>
        <v>0</v>
      </c>
      <c r="L164" s="1">
        <f>J164*'Entradas'!B12</f>
        <v>0</v>
      </c>
      <c r="M164" s="1">
        <f>K164*'Entradas'!B13</f>
        <v>0</v>
      </c>
      <c r="N164" s="1">
        <f>IF(E164&gt;'Resumen'!$B$14,'Tramos_red'!P17,0)</f>
        <v>0</v>
      </c>
      <c r="O164" s="1">
        <f>IF(E164&gt;'Resumen'!$B$14,'Tramos_red'!Q17,0)</f>
        <v>0</v>
      </c>
      <c r="P164" s="1">
        <f>IF(E164&gt;'Resumen'!$B$14,'Tramos_red'!R17,0)</f>
        <v>0</v>
      </c>
      <c r="Q164" s="1">
        <f>IF(E164&lt;='Resumen'!$B$14,0,IF('Entradas'!$B$5=0,"sin U",IF(P164=0,"infinita",E164/('Entradas'!$B$5*P164))))</f>
        <v>0</v>
      </c>
    </row>
    <row r="165" spans="1:17" ht="21" customHeight="1">
      <c r="A165" s="4" t="s">
        <v>264</v>
      </c>
      <c r="B165" s="1">
        <v>14</v>
      </c>
      <c r="C165" s="4" t="str">
        <f>'Entradas'!A12</f>
        <v>H2</v>
      </c>
      <c r="D165" s="4" t="str">
        <f>'Entradas'!A14</f>
        <v>C4</v>
      </c>
      <c r="E165" s="1">
        <f>'Tramos_red'!M17*'Tramos_red'!U17*'Tramos_red'!AA17</f>
        <v>0.0</v>
      </c>
      <c r="F165" s="1">
        <f>IF(E165&gt;'Resumen'!$B$14,'Tramos_red'!J17,"")</f>
        <v/>
      </c>
      <c r="G165" s="1">
        <f>IF(E165&gt;'Resumen'!$B$14,'Tramos_red'!I17,"")</f>
        <v/>
      </c>
      <c r="H165" s="1">
        <f>IF(E165&gt;'Resumen'!$B$14,'Tramos_red'!K17,"")</f>
        <v/>
      </c>
      <c r="I165" s="1">
        <f>IF(E165&gt;'Resumen'!$B$14,'Tramos_red'!L17,"")</f>
        <v/>
      </c>
      <c r="J165" s="6">
        <f>IF(E165&gt;'Resumen'!$B$14,'Tramos_red'!AA17,0)</f>
        <v>0</v>
      </c>
      <c r="K165" s="6">
        <f>IF(E165&gt;'Resumen'!$B$14,'Tramos_red'!U17,0)</f>
        <v>0</v>
      </c>
      <c r="L165" s="1">
        <f>J165*'Entradas'!B12</f>
        <v>0</v>
      </c>
      <c r="M165" s="1">
        <f>K165*'Entradas'!B14</f>
        <v>0</v>
      </c>
      <c r="N165" s="1">
        <f>IF(E165&gt;'Resumen'!$B$14,'Tramos_red'!P17,0)</f>
        <v>0</v>
      </c>
      <c r="O165" s="1">
        <f>IF(E165&gt;'Resumen'!$B$14,'Tramos_red'!Q17,0)</f>
        <v>0</v>
      </c>
      <c r="P165" s="1">
        <f>IF(E165&gt;'Resumen'!$B$14,'Tramos_red'!R17,0)</f>
        <v>0</v>
      </c>
      <c r="Q165" s="1">
        <f>IF(E165&lt;='Resumen'!$B$14,0,IF('Entradas'!$B$5=0,"sin U",IF(P165=0,"infinita",E165/('Entradas'!$B$5*P165))))</f>
        <v>0</v>
      </c>
    </row>
    <row r="166" spans="1:17" ht="21" customHeight="1">
      <c r="A166" s="4" t="s">
        <v>265</v>
      </c>
      <c r="B166" s="1">
        <v>14</v>
      </c>
      <c r="C166" s="4" t="str">
        <f>'Entradas'!A13</f>
        <v>C3</v>
      </c>
      <c r="D166" s="4" t="str">
        <f>'Entradas'!A11</f>
        <v>H1</v>
      </c>
      <c r="E166" s="1">
        <f>'Tramos_red'!M17*'Tramos_red'!V17*'Tramos_red'!X17</f>
        <v>0.0</v>
      </c>
      <c r="F166" s="1">
        <f>IF(E166&gt;'Resumen'!$B$14,'Tramos_red'!J17,"")</f>
        <v/>
      </c>
      <c r="G166" s="1">
        <f>IF(E166&gt;'Resumen'!$B$14,'Tramos_red'!I17,"")</f>
        <v/>
      </c>
      <c r="H166" s="1">
        <f>IF(E166&gt;'Resumen'!$B$14,'Tramos_red'!K17,"")</f>
        <v/>
      </c>
      <c r="I166" s="1">
        <f>IF(E166&gt;'Resumen'!$B$14,'Tramos_red'!L17,"")</f>
        <v/>
      </c>
      <c r="J166" s="6">
        <f>IF(E166&gt;'Resumen'!$B$14,'Tramos_red'!X17,0)</f>
        <v>0</v>
      </c>
      <c r="K166" s="6">
        <f>IF(E166&gt;'Resumen'!$B$14,'Tramos_red'!V17,0)</f>
        <v>0</v>
      </c>
      <c r="L166" s="1">
        <f>J166*'Entradas'!B13</f>
        <v>0</v>
      </c>
      <c r="M166" s="1">
        <f>K166*'Entradas'!B11</f>
        <v>0</v>
      </c>
      <c r="N166" s="1">
        <f>IF(E166&gt;'Resumen'!$B$14,'Tramos_red'!P17,0)</f>
        <v>0</v>
      </c>
      <c r="O166" s="1">
        <f>IF(E166&gt;'Resumen'!$B$14,'Tramos_red'!Q17,0)</f>
        <v>0</v>
      </c>
      <c r="P166" s="1">
        <f>IF(E166&gt;'Resumen'!$B$14,'Tramos_red'!R17,0)</f>
        <v>0</v>
      </c>
      <c r="Q166" s="1">
        <f>IF(E166&lt;='Resumen'!$B$14,0,IF('Entradas'!$B$5=0,"sin U",IF(P166=0,"infinita",E166/('Entradas'!$B$5*P166))))</f>
        <v>0</v>
      </c>
    </row>
    <row r="167" spans="1:17" ht="21" customHeight="1">
      <c r="A167" s="4" t="s">
        <v>266</v>
      </c>
      <c r="B167" s="1">
        <v>14</v>
      </c>
      <c r="C167" s="4" t="str">
        <f>'Entradas'!A13</f>
        <v>C3</v>
      </c>
      <c r="D167" s="4" t="str">
        <f>'Entradas'!A12</f>
        <v>H2</v>
      </c>
      <c r="E167" s="1">
        <f>'Tramos_red'!M17*'Tramos_red'!V17*'Tramos_red'!Y17</f>
        <v>0.0</v>
      </c>
      <c r="F167" s="1">
        <f>IF(E167&gt;'Resumen'!$B$14,'Tramos_red'!J17,"")</f>
        <v/>
      </c>
      <c r="G167" s="1">
        <f>IF(E167&gt;'Resumen'!$B$14,'Tramos_red'!I17,"")</f>
        <v/>
      </c>
      <c r="H167" s="1">
        <f>IF(E167&gt;'Resumen'!$B$14,'Tramos_red'!K17,"")</f>
        <v/>
      </c>
      <c r="I167" s="1">
        <f>IF(E167&gt;'Resumen'!$B$14,'Tramos_red'!L17,"")</f>
        <v/>
      </c>
      <c r="J167" s="6">
        <f>IF(E167&gt;'Resumen'!$B$14,'Tramos_red'!Y17,0)</f>
        <v>0</v>
      </c>
      <c r="K167" s="6">
        <f>IF(E167&gt;'Resumen'!$B$14,'Tramos_red'!V17,0)</f>
        <v>0</v>
      </c>
      <c r="L167" s="1">
        <f>J167*'Entradas'!B13</f>
        <v>0</v>
      </c>
      <c r="M167" s="1">
        <f>K167*'Entradas'!B12</f>
        <v>0</v>
      </c>
      <c r="N167" s="1">
        <f>IF(E167&gt;'Resumen'!$B$14,'Tramos_red'!P17,0)</f>
        <v>0</v>
      </c>
      <c r="O167" s="1">
        <f>IF(E167&gt;'Resumen'!$B$14,'Tramos_red'!Q17,0)</f>
        <v>0</v>
      </c>
      <c r="P167" s="1">
        <f>IF(E167&gt;'Resumen'!$B$14,'Tramos_red'!R17,0)</f>
        <v>0</v>
      </c>
      <c r="Q167" s="1">
        <f>IF(E167&lt;='Resumen'!$B$14,0,IF('Entradas'!$B$5=0,"sin U",IF(P167=0,"infinita",E167/('Entradas'!$B$5*P167))))</f>
        <v>0</v>
      </c>
    </row>
    <row r="168" spans="1:17" ht="21" customHeight="1">
      <c r="A168" s="4" t="s">
        <v>267</v>
      </c>
      <c r="B168" s="1">
        <v>14</v>
      </c>
      <c r="C168" s="4" t="str">
        <f>'Entradas'!A13</f>
        <v>C3</v>
      </c>
      <c r="D168" s="4" t="str">
        <f>'Entradas'!A14</f>
        <v>C4</v>
      </c>
      <c r="E168" s="1">
        <f>'Tramos_red'!M17*'Tramos_red'!V17*'Tramos_red'!AA17</f>
        <v>0.0</v>
      </c>
      <c r="F168" s="1">
        <f>IF(E168&gt;'Resumen'!$B$14,'Tramos_red'!J17,"")</f>
        <v/>
      </c>
      <c r="G168" s="1">
        <f>IF(E168&gt;'Resumen'!$B$14,'Tramos_red'!I17,"")</f>
        <v/>
      </c>
      <c r="H168" s="1">
        <f>IF(E168&gt;'Resumen'!$B$14,'Tramos_red'!K17,"")</f>
        <v/>
      </c>
      <c r="I168" s="1">
        <f>IF(E168&gt;'Resumen'!$B$14,'Tramos_red'!L17,"")</f>
        <v/>
      </c>
      <c r="J168" s="6">
        <f>IF(E168&gt;'Resumen'!$B$14,'Tramos_red'!AA17,0)</f>
        <v>0</v>
      </c>
      <c r="K168" s="6">
        <f>IF(E168&gt;'Resumen'!$B$14,'Tramos_red'!V17,0)</f>
        <v>0</v>
      </c>
      <c r="L168" s="1">
        <f>J168*'Entradas'!B13</f>
        <v>0</v>
      </c>
      <c r="M168" s="1">
        <f>K168*'Entradas'!B14</f>
        <v>0</v>
      </c>
      <c r="N168" s="1">
        <f>IF(E168&gt;'Resumen'!$B$14,'Tramos_red'!P17,0)</f>
        <v>0</v>
      </c>
      <c r="O168" s="1">
        <f>IF(E168&gt;'Resumen'!$B$14,'Tramos_red'!Q17,0)</f>
        <v>0</v>
      </c>
      <c r="P168" s="1">
        <f>IF(E168&gt;'Resumen'!$B$14,'Tramos_red'!R17,0)</f>
        <v>0</v>
      </c>
      <c r="Q168" s="1">
        <f>IF(E168&lt;='Resumen'!$B$14,0,IF('Entradas'!$B$5=0,"sin U",IF(P168=0,"infinita",E168/('Entradas'!$B$5*P168))))</f>
        <v>0</v>
      </c>
    </row>
    <row r="169" spans="1:17" ht="21" customHeight="1">
      <c r="A169" s="4" t="s">
        <v>268</v>
      </c>
      <c r="B169" s="1">
        <v>14</v>
      </c>
      <c r="C169" s="4" t="str">
        <f>'Entradas'!A14</f>
        <v>C4</v>
      </c>
      <c r="D169" s="4" t="str">
        <f>'Entradas'!A11</f>
        <v>H1</v>
      </c>
      <c r="E169" s="1">
        <f>'Tramos_red'!M17*'Tramos_red'!W17*'Tramos_red'!X17</f>
        <v>0.0</v>
      </c>
      <c r="F169" s="1">
        <f>IF(E169&gt;'Resumen'!$B$14,'Tramos_red'!J17,"")</f>
        <v/>
      </c>
      <c r="G169" s="1">
        <f>IF(E169&gt;'Resumen'!$B$14,'Tramos_red'!I17,"")</f>
        <v/>
      </c>
      <c r="H169" s="1">
        <f>IF(E169&gt;'Resumen'!$B$14,'Tramos_red'!K17,"")</f>
        <v/>
      </c>
      <c r="I169" s="1">
        <f>IF(E169&gt;'Resumen'!$B$14,'Tramos_red'!L17,"")</f>
        <v/>
      </c>
      <c r="J169" s="6">
        <f>IF(E169&gt;'Resumen'!$B$14,'Tramos_red'!X17,0)</f>
        <v>0</v>
      </c>
      <c r="K169" s="6">
        <f>IF(E169&gt;'Resumen'!$B$14,'Tramos_red'!W17,0)</f>
        <v>0</v>
      </c>
      <c r="L169" s="1">
        <f>J169*'Entradas'!B14</f>
        <v>0</v>
      </c>
      <c r="M169" s="1">
        <f>K169*'Entradas'!B11</f>
        <v>0</v>
      </c>
      <c r="N169" s="1">
        <f>IF(E169&gt;'Resumen'!$B$14,'Tramos_red'!P17,0)</f>
        <v>0</v>
      </c>
      <c r="O169" s="1">
        <f>IF(E169&gt;'Resumen'!$B$14,'Tramos_red'!Q17,0)</f>
        <v>0</v>
      </c>
      <c r="P169" s="1">
        <f>IF(E169&gt;'Resumen'!$B$14,'Tramos_red'!R17,0)</f>
        <v>0</v>
      </c>
      <c r="Q169" s="1">
        <f>IF(E169&lt;='Resumen'!$B$14,0,IF('Entradas'!$B$5=0,"sin U",IF(P169=0,"infinita",E169/('Entradas'!$B$5*P169))))</f>
        <v>0</v>
      </c>
    </row>
    <row r="170" spans="1:17" ht="21" customHeight="1">
      <c r="A170" s="4" t="s">
        <v>269</v>
      </c>
      <c r="B170" s="1">
        <v>14</v>
      </c>
      <c r="C170" s="4" t="str">
        <f>'Entradas'!A14</f>
        <v>C4</v>
      </c>
      <c r="D170" s="4" t="str">
        <f>'Entradas'!A12</f>
        <v>H2</v>
      </c>
      <c r="E170" s="1">
        <f>'Tramos_red'!M17*'Tramos_red'!W17*'Tramos_red'!Y17</f>
        <v>0.0</v>
      </c>
      <c r="F170" s="1">
        <f>IF(E170&gt;'Resumen'!$B$14,'Tramos_red'!J17,"")</f>
        <v/>
      </c>
      <c r="G170" s="1">
        <f>IF(E170&gt;'Resumen'!$B$14,'Tramos_red'!I17,"")</f>
        <v/>
      </c>
      <c r="H170" s="1">
        <f>IF(E170&gt;'Resumen'!$B$14,'Tramos_red'!K17,"")</f>
        <v/>
      </c>
      <c r="I170" s="1">
        <f>IF(E170&gt;'Resumen'!$B$14,'Tramos_red'!L17,"")</f>
        <v/>
      </c>
      <c r="J170" s="6">
        <f>IF(E170&gt;'Resumen'!$B$14,'Tramos_red'!Y17,0)</f>
        <v>0</v>
      </c>
      <c r="K170" s="6">
        <f>IF(E170&gt;'Resumen'!$B$14,'Tramos_red'!W17,0)</f>
        <v>0</v>
      </c>
      <c r="L170" s="1">
        <f>J170*'Entradas'!B14</f>
        <v>0</v>
      </c>
      <c r="M170" s="1">
        <f>K170*'Entradas'!B12</f>
        <v>0</v>
      </c>
      <c r="N170" s="1">
        <f>IF(E170&gt;'Resumen'!$B$14,'Tramos_red'!P17,0)</f>
        <v>0</v>
      </c>
      <c r="O170" s="1">
        <f>IF(E170&gt;'Resumen'!$B$14,'Tramos_red'!Q17,0)</f>
        <v>0</v>
      </c>
      <c r="P170" s="1">
        <f>IF(E170&gt;'Resumen'!$B$14,'Tramos_red'!R17,0)</f>
        <v>0</v>
      </c>
      <c r="Q170" s="1">
        <f>IF(E170&lt;='Resumen'!$B$14,0,IF('Entradas'!$B$5=0,"sin U",IF(P170=0,"infinita",E170/('Entradas'!$B$5*P170))))</f>
        <v>0</v>
      </c>
    </row>
    <row r="171" spans="1:17" ht="21" customHeight="1">
      <c r="A171" s="4" t="s">
        <v>270</v>
      </c>
      <c r="B171" s="1">
        <v>14</v>
      </c>
      <c r="C171" s="4" t="str">
        <f>'Entradas'!A14</f>
        <v>C4</v>
      </c>
      <c r="D171" s="4" t="str">
        <f>'Entradas'!A13</f>
        <v>C3</v>
      </c>
      <c r="E171" s="1">
        <f>'Tramos_red'!M17*'Tramos_red'!W17*'Tramos_red'!Z17</f>
        <v>0.0</v>
      </c>
      <c r="F171" s="1">
        <f>IF(E171&gt;'Resumen'!$B$14,'Tramos_red'!J17,"")</f>
        <v/>
      </c>
      <c r="G171" s="1">
        <f>IF(E171&gt;'Resumen'!$B$14,'Tramos_red'!I17,"")</f>
        <v/>
      </c>
      <c r="H171" s="1">
        <f>IF(E171&gt;'Resumen'!$B$14,'Tramos_red'!K17,"")</f>
        <v/>
      </c>
      <c r="I171" s="1">
        <f>IF(E171&gt;'Resumen'!$B$14,'Tramos_red'!L17,"")</f>
        <v/>
      </c>
      <c r="J171" s="6">
        <f>IF(E171&gt;'Resumen'!$B$14,'Tramos_red'!Z17,0)</f>
        <v>0</v>
      </c>
      <c r="K171" s="6">
        <f>IF(E171&gt;'Resumen'!$B$14,'Tramos_red'!W17,0)</f>
        <v>0</v>
      </c>
      <c r="L171" s="1">
        <f>J171*'Entradas'!B14</f>
        <v>0</v>
      </c>
      <c r="M171" s="1">
        <f>K171*'Entradas'!B13</f>
        <v>0</v>
      </c>
      <c r="N171" s="1">
        <f>IF(E171&gt;'Resumen'!$B$14,'Tramos_red'!P17,0)</f>
        <v>0</v>
      </c>
      <c r="O171" s="1">
        <f>IF(E171&gt;'Resumen'!$B$14,'Tramos_red'!Q17,0)</f>
        <v>0</v>
      </c>
      <c r="P171" s="1">
        <f>IF(E171&gt;'Resumen'!$B$14,'Tramos_red'!R17,0)</f>
        <v>0</v>
      </c>
      <c r="Q171" s="1">
        <f>IF(E171&lt;='Resumen'!$B$14,0,IF('Entradas'!$B$5=0,"sin U",IF(P171=0,"infinita",E171/('Entradas'!$B$5*P171))))</f>
        <v>0</v>
      </c>
    </row>
    <row r="172" spans="1:17" ht="21" customHeight="1">
      <c r="A172" s="4" t="s">
        <v>271</v>
      </c>
      <c r="B172" s="1">
        <v>15</v>
      </c>
      <c r="C172" s="4" t="str">
        <f>'Entradas'!A11</f>
        <v>H1</v>
      </c>
      <c r="D172" s="4" t="str">
        <f>'Entradas'!A12</f>
        <v>H2</v>
      </c>
      <c r="E172" s="1">
        <f>'Tramos_red'!M18*'Tramos_red'!T18*'Tramos_red'!Y18</f>
        <v>0.0</v>
      </c>
      <c r="F172" s="1">
        <f>IF(E172&gt;'Resumen'!$B$14,'Tramos_red'!J18,"")</f>
        <v/>
      </c>
      <c r="G172" s="1">
        <f>IF(E172&gt;'Resumen'!$B$14,'Tramos_red'!I18,"")</f>
        <v/>
      </c>
      <c r="H172" s="1">
        <f>IF(E172&gt;'Resumen'!$B$14,'Tramos_red'!K18,"")</f>
        <v/>
      </c>
      <c r="I172" s="1">
        <f>IF(E172&gt;'Resumen'!$B$14,'Tramos_red'!L18,"")</f>
        <v/>
      </c>
      <c r="J172" s="6">
        <f>IF(E172&gt;'Resumen'!$B$14,'Tramos_red'!Y18,0)</f>
        <v>0</v>
      </c>
      <c r="K172" s="6">
        <f>IF(E172&gt;'Resumen'!$B$14,'Tramos_red'!T18,0)</f>
        <v>0</v>
      </c>
      <c r="L172" s="1">
        <f>J172*'Entradas'!B11</f>
        <v>0</v>
      </c>
      <c r="M172" s="1">
        <f>K172*'Entradas'!B12</f>
        <v>0</v>
      </c>
      <c r="N172" s="1">
        <f>IF(E172&gt;'Resumen'!$B$14,'Tramos_red'!P18,0)</f>
        <v>0</v>
      </c>
      <c r="O172" s="1">
        <f>IF(E172&gt;'Resumen'!$B$14,'Tramos_red'!Q18,0)</f>
        <v>0</v>
      </c>
      <c r="P172" s="1">
        <f>IF(E172&gt;'Resumen'!$B$14,'Tramos_red'!R18,0)</f>
        <v>0</v>
      </c>
      <c r="Q172" s="1">
        <f>IF(E172&lt;='Resumen'!$B$14,0,IF('Entradas'!$B$5=0,"sin U",IF(P172=0,"infinita",E172/('Entradas'!$B$5*P172))))</f>
        <v>0</v>
      </c>
    </row>
    <row r="173" spans="1:17" ht="21" customHeight="1">
      <c r="A173" s="4" t="s">
        <v>272</v>
      </c>
      <c r="B173" s="1">
        <v>15</v>
      </c>
      <c r="C173" s="4" t="str">
        <f>'Entradas'!A11</f>
        <v>H1</v>
      </c>
      <c r="D173" s="4" t="str">
        <f>'Entradas'!A13</f>
        <v>C3</v>
      </c>
      <c r="E173" s="1">
        <f>'Tramos_red'!M18*'Tramos_red'!T18*'Tramos_red'!Z18</f>
        <v>0.0</v>
      </c>
      <c r="F173" s="1">
        <f>IF(E173&gt;'Resumen'!$B$14,'Tramos_red'!J18,"")</f>
        <v/>
      </c>
      <c r="G173" s="1">
        <f>IF(E173&gt;'Resumen'!$B$14,'Tramos_red'!I18,"")</f>
        <v/>
      </c>
      <c r="H173" s="1">
        <f>IF(E173&gt;'Resumen'!$B$14,'Tramos_red'!K18,"")</f>
        <v/>
      </c>
      <c r="I173" s="1">
        <f>IF(E173&gt;'Resumen'!$B$14,'Tramos_red'!L18,"")</f>
        <v/>
      </c>
      <c r="J173" s="6">
        <f>IF(E173&gt;'Resumen'!$B$14,'Tramos_red'!Z18,0)</f>
        <v>0</v>
      </c>
      <c r="K173" s="6">
        <f>IF(E173&gt;'Resumen'!$B$14,'Tramos_red'!T18,0)</f>
        <v>0</v>
      </c>
      <c r="L173" s="1">
        <f>J173*'Entradas'!B11</f>
        <v>0</v>
      </c>
      <c r="M173" s="1">
        <f>K173*'Entradas'!B13</f>
        <v>0</v>
      </c>
      <c r="N173" s="1">
        <f>IF(E173&gt;'Resumen'!$B$14,'Tramos_red'!P18,0)</f>
        <v>0</v>
      </c>
      <c r="O173" s="1">
        <f>IF(E173&gt;'Resumen'!$B$14,'Tramos_red'!Q18,0)</f>
        <v>0</v>
      </c>
      <c r="P173" s="1">
        <f>IF(E173&gt;'Resumen'!$B$14,'Tramos_red'!R18,0)</f>
        <v>0</v>
      </c>
      <c r="Q173" s="1">
        <f>IF(E173&lt;='Resumen'!$B$14,0,IF('Entradas'!$B$5=0,"sin U",IF(P173=0,"infinita",E173/('Entradas'!$B$5*P173))))</f>
        <v>0</v>
      </c>
    </row>
    <row r="174" spans="1:17" ht="21" customHeight="1">
      <c r="A174" s="4" t="s">
        <v>273</v>
      </c>
      <c r="B174" s="1">
        <v>15</v>
      </c>
      <c r="C174" s="4" t="str">
        <f>'Entradas'!A11</f>
        <v>H1</v>
      </c>
      <c r="D174" s="4" t="str">
        <f>'Entradas'!A14</f>
        <v>C4</v>
      </c>
      <c r="E174" s="1">
        <f>'Tramos_red'!M18*'Tramos_red'!T18*'Tramos_red'!AA18</f>
        <v>0.0</v>
      </c>
      <c r="F174" s="1">
        <f>IF(E174&gt;'Resumen'!$B$14,'Tramos_red'!J18,"")</f>
        <v/>
      </c>
      <c r="G174" s="1">
        <f>IF(E174&gt;'Resumen'!$B$14,'Tramos_red'!I18,"")</f>
        <v/>
      </c>
      <c r="H174" s="1">
        <f>IF(E174&gt;'Resumen'!$B$14,'Tramos_red'!K18,"")</f>
        <v/>
      </c>
      <c r="I174" s="1">
        <f>IF(E174&gt;'Resumen'!$B$14,'Tramos_red'!L18,"")</f>
        <v/>
      </c>
      <c r="J174" s="6">
        <f>IF(E174&gt;'Resumen'!$B$14,'Tramos_red'!AA18,0)</f>
        <v>0</v>
      </c>
      <c r="K174" s="6">
        <f>IF(E174&gt;'Resumen'!$B$14,'Tramos_red'!T18,0)</f>
        <v>0</v>
      </c>
      <c r="L174" s="1">
        <f>J174*'Entradas'!B11</f>
        <v>0</v>
      </c>
      <c r="M174" s="1">
        <f>K174*'Entradas'!B14</f>
        <v>0</v>
      </c>
      <c r="N174" s="1">
        <f>IF(E174&gt;'Resumen'!$B$14,'Tramos_red'!P18,0)</f>
        <v>0</v>
      </c>
      <c r="O174" s="1">
        <f>IF(E174&gt;'Resumen'!$B$14,'Tramos_red'!Q18,0)</f>
        <v>0</v>
      </c>
      <c r="P174" s="1">
        <f>IF(E174&gt;'Resumen'!$B$14,'Tramos_red'!R18,0)</f>
        <v>0</v>
      </c>
      <c r="Q174" s="1">
        <f>IF(E174&lt;='Resumen'!$B$14,0,IF('Entradas'!$B$5=0,"sin U",IF(P174=0,"infinita",E174/('Entradas'!$B$5*P174))))</f>
        <v>0</v>
      </c>
    </row>
    <row r="175" spans="1:17" ht="21" customHeight="1">
      <c r="A175" s="4" t="s">
        <v>274</v>
      </c>
      <c r="B175" s="1">
        <v>15</v>
      </c>
      <c r="C175" s="4" t="str">
        <f>'Entradas'!A12</f>
        <v>H2</v>
      </c>
      <c r="D175" s="4" t="str">
        <f>'Entradas'!A11</f>
        <v>H1</v>
      </c>
      <c r="E175" s="1">
        <f>'Tramos_red'!M18*'Tramos_red'!U18*'Tramos_red'!X18</f>
        <v>0.0</v>
      </c>
      <c r="F175" s="1">
        <f>IF(E175&gt;'Resumen'!$B$14,'Tramos_red'!J18,"")</f>
        <v/>
      </c>
      <c r="G175" s="1">
        <f>IF(E175&gt;'Resumen'!$B$14,'Tramos_red'!I18,"")</f>
        <v/>
      </c>
      <c r="H175" s="1">
        <f>IF(E175&gt;'Resumen'!$B$14,'Tramos_red'!K18,"")</f>
        <v/>
      </c>
      <c r="I175" s="1">
        <f>IF(E175&gt;'Resumen'!$B$14,'Tramos_red'!L18,"")</f>
        <v/>
      </c>
      <c r="J175" s="6">
        <f>IF(E175&gt;'Resumen'!$B$14,'Tramos_red'!X18,0)</f>
        <v>0</v>
      </c>
      <c r="K175" s="6">
        <f>IF(E175&gt;'Resumen'!$B$14,'Tramos_red'!U18,0)</f>
        <v>0</v>
      </c>
      <c r="L175" s="1">
        <f>J175*'Entradas'!B12</f>
        <v>0</v>
      </c>
      <c r="M175" s="1">
        <f>K175*'Entradas'!B11</f>
        <v>0</v>
      </c>
      <c r="N175" s="1">
        <f>IF(E175&gt;'Resumen'!$B$14,'Tramos_red'!P18,0)</f>
        <v>0</v>
      </c>
      <c r="O175" s="1">
        <f>IF(E175&gt;'Resumen'!$B$14,'Tramos_red'!Q18,0)</f>
        <v>0</v>
      </c>
      <c r="P175" s="1">
        <f>IF(E175&gt;'Resumen'!$B$14,'Tramos_red'!R18,0)</f>
        <v>0</v>
      </c>
      <c r="Q175" s="1">
        <f>IF(E175&lt;='Resumen'!$B$14,0,IF('Entradas'!$B$5=0,"sin U",IF(P175=0,"infinita",E175/('Entradas'!$B$5*P175))))</f>
        <v>0</v>
      </c>
    </row>
    <row r="176" spans="1:17" ht="21" customHeight="1">
      <c r="A176" s="4" t="s">
        <v>275</v>
      </c>
      <c r="B176" s="1">
        <v>15</v>
      </c>
      <c r="C176" s="4" t="str">
        <f>'Entradas'!A12</f>
        <v>H2</v>
      </c>
      <c r="D176" s="4" t="str">
        <f>'Entradas'!A13</f>
        <v>C3</v>
      </c>
      <c r="E176" s="1">
        <f>'Tramos_red'!M18*'Tramos_red'!U18*'Tramos_red'!Z18</f>
        <v>0.0</v>
      </c>
      <c r="F176" s="1">
        <f>IF(E176&gt;'Resumen'!$B$14,'Tramos_red'!J18,"")</f>
        <v/>
      </c>
      <c r="G176" s="1">
        <f>IF(E176&gt;'Resumen'!$B$14,'Tramos_red'!I18,"")</f>
        <v/>
      </c>
      <c r="H176" s="1">
        <f>IF(E176&gt;'Resumen'!$B$14,'Tramos_red'!K18,"")</f>
        <v/>
      </c>
      <c r="I176" s="1">
        <f>IF(E176&gt;'Resumen'!$B$14,'Tramos_red'!L18,"")</f>
        <v/>
      </c>
      <c r="J176" s="6">
        <f>IF(E176&gt;'Resumen'!$B$14,'Tramos_red'!Z18,0)</f>
        <v>0</v>
      </c>
      <c r="K176" s="6">
        <f>IF(E176&gt;'Resumen'!$B$14,'Tramos_red'!U18,0)</f>
        <v>0</v>
      </c>
      <c r="L176" s="1">
        <f>J176*'Entradas'!B12</f>
        <v>0</v>
      </c>
      <c r="M176" s="1">
        <f>K176*'Entradas'!B13</f>
        <v>0</v>
      </c>
      <c r="N176" s="1">
        <f>IF(E176&gt;'Resumen'!$B$14,'Tramos_red'!P18,0)</f>
        <v>0</v>
      </c>
      <c r="O176" s="1">
        <f>IF(E176&gt;'Resumen'!$B$14,'Tramos_red'!Q18,0)</f>
        <v>0</v>
      </c>
      <c r="P176" s="1">
        <f>IF(E176&gt;'Resumen'!$B$14,'Tramos_red'!R18,0)</f>
        <v>0</v>
      </c>
      <c r="Q176" s="1">
        <f>IF(E176&lt;='Resumen'!$B$14,0,IF('Entradas'!$B$5=0,"sin U",IF(P176=0,"infinita",E176/('Entradas'!$B$5*P176))))</f>
        <v>0</v>
      </c>
    </row>
    <row r="177" spans="1:17" ht="21" customHeight="1">
      <c r="A177" s="4" t="s">
        <v>276</v>
      </c>
      <c r="B177" s="1">
        <v>15</v>
      </c>
      <c r="C177" s="4" t="str">
        <f>'Entradas'!A12</f>
        <v>H2</v>
      </c>
      <c r="D177" s="4" t="str">
        <f>'Entradas'!A14</f>
        <v>C4</v>
      </c>
      <c r="E177" s="1">
        <f>'Tramos_red'!M18*'Tramos_red'!U18*'Tramos_red'!AA18</f>
        <v>0.0</v>
      </c>
      <c r="F177" s="1">
        <f>IF(E177&gt;'Resumen'!$B$14,'Tramos_red'!J18,"")</f>
        <v/>
      </c>
      <c r="G177" s="1">
        <f>IF(E177&gt;'Resumen'!$B$14,'Tramos_red'!I18,"")</f>
        <v/>
      </c>
      <c r="H177" s="1">
        <f>IF(E177&gt;'Resumen'!$B$14,'Tramos_red'!K18,"")</f>
        <v/>
      </c>
      <c r="I177" s="1">
        <f>IF(E177&gt;'Resumen'!$B$14,'Tramos_red'!L18,"")</f>
        <v/>
      </c>
      <c r="J177" s="6">
        <f>IF(E177&gt;'Resumen'!$B$14,'Tramos_red'!AA18,0)</f>
        <v>0</v>
      </c>
      <c r="K177" s="6">
        <f>IF(E177&gt;'Resumen'!$B$14,'Tramos_red'!U18,0)</f>
        <v>0</v>
      </c>
      <c r="L177" s="1">
        <f>J177*'Entradas'!B12</f>
        <v>0</v>
      </c>
      <c r="M177" s="1">
        <f>K177*'Entradas'!B14</f>
        <v>0</v>
      </c>
      <c r="N177" s="1">
        <f>IF(E177&gt;'Resumen'!$B$14,'Tramos_red'!P18,0)</f>
        <v>0</v>
      </c>
      <c r="O177" s="1">
        <f>IF(E177&gt;'Resumen'!$B$14,'Tramos_red'!Q18,0)</f>
        <v>0</v>
      </c>
      <c r="P177" s="1">
        <f>IF(E177&gt;'Resumen'!$B$14,'Tramos_red'!R18,0)</f>
        <v>0</v>
      </c>
      <c r="Q177" s="1">
        <f>IF(E177&lt;='Resumen'!$B$14,0,IF('Entradas'!$B$5=0,"sin U",IF(P177=0,"infinita",E177/('Entradas'!$B$5*P177))))</f>
        <v>0</v>
      </c>
    </row>
    <row r="178" spans="1:17" ht="21" customHeight="1">
      <c r="A178" s="4" t="s">
        <v>277</v>
      </c>
      <c r="B178" s="1">
        <v>15</v>
      </c>
      <c r="C178" s="4" t="str">
        <f>'Entradas'!A13</f>
        <v>C3</v>
      </c>
      <c r="D178" s="4" t="str">
        <f>'Entradas'!A11</f>
        <v>H1</v>
      </c>
      <c r="E178" s="1">
        <f>'Tramos_red'!M18*'Tramos_red'!V18*'Tramos_red'!X18</f>
        <v>0.0</v>
      </c>
      <c r="F178" s="1">
        <f>IF(E178&gt;'Resumen'!$B$14,'Tramos_red'!J18,"")</f>
        <v/>
      </c>
      <c r="G178" s="1">
        <f>IF(E178&gt;'Resumen'!$B$14,'Tramos_red'!I18,"")</f>
        <v/>
      </c>
      <c r="H178" s="1">
        <f>IF(E178&gt;'Resumen'!$B$14,'Tramos_red'!K18,"")</f>
        <v/>
      </c>
      <c r="I178" s="1">
        <f>IF(E178&gt;'Resumen'!$B$14,'Tramos_red'!L18,"")</f>
        <v/>
      </c>
      <c r="J178" s="6">
        <f>IF(E178&gt;'Resumen'!$B$14,'Tramos_red'!X18,0)</f>
        <v>0</v>
      </c>
      <c r="K178" s="6">
        <f>IF(E178&gt;'Resumen'!$B$14,'Tramos_red'!V18,0)</f>
        <v>0</v>
      </c>
      <c r="L178" s="1">
        <f>J178*'Entradas'!B13</f>
        <v>0</v>
      </c>
      <c r="M178" s="1">
        <f>K178*'Entradas'!B11</f>
        <v>0</v>
      </c>
      <c r="N178" s="1">
        <f>IF(E178&gt;'Resumen'!$B$14,'Tramos_red'!P18,0)</f>
        <v>0</v>
      </c>
      <c r="O178" s="1">
        <f>IF(E178&gt;'Resumen'!$B$14,'Tramos_red'!Q18,0)</f>
        <v>0</v>
      </c>
      <c r="P178" s="1">
        <f>IF(E178&gt;'Resumen'!$B$14,'Tramos_red'!R18,0)</f>
        <v>0</v>
      </c>
      <c r="Q178" s="1">
        <f>IF(E178&lt;='Resumen'!$B$14,0,IF('Entradas'!$B$5=0,"sin U",IF(P178=0,"infinita",E178/('Entradas'!$B$5*P178))))</f>
        <v>0</v>
      </c>
    </row>
    <row r="179" spans="1:17" ht="21" customHeight="1">
      <c r="A179" s="4" t="s">
        <v>278</v>
      </c>
      <c r="B179" s="1">
        <v>15</v>
      </c>
      <c r="C179" s="4" t="str">
        <f>'Entradas'!A13</f>
        <v>C3</v>
      </c>
      <c r="D179" s="4" t="str">
        <f>'Entradas'!A12</f>
        <v>H2</v>
      </c>
      <c r="E179" s="1">
        <f>'Tramos_red'!M18*'Tramos_red'!V18*'Tramos_red'!Y18</f>
        <v>0.0</v>
      </c>
      <c r="F179" s="1">
        <f>IF(E179&gt;'Resumen'!$B$14,'Tramos_red'!J18,"")</f>
        <v/>
      </c>
      <c r="G179" s="1">
        <f>IF(E179&gt;'Resumen'!$B$14,'Tramos_red'!I18,"")</f>
        <v/>
      </c>
      <c r="H179" s="1">
        <f>IF(E179&gt;'Resumen'!$B$14,'Tramos_red'!K18,"")</f>
        <v/>
      </c>
      <c r="I179" s="1">
        <f>IF(E179&gt;'Resumen'!$B$14,'Tramos_red'!L18,"")</f>
        <v/>
      </c>
      <c r="J179" s="6">
        <f>IF(E179&gt;'Resumen'!$B$14,'Tramos_red'!Y18,0)</f>
        <v>0</v>
      </c>
      <c r="K179" s="6">
        <f>IF(E179&gt;'Resumen'!$B$14,'Tramos_red'!V18,0)</f>
        <v>0</v>
      </c>
      <c r="L179" s="1">
        <f>J179*'Entradas'!B13</f>
        <v>0</v>
      </c>
      <c r="M179" s="1">
        <f>K179*'Entradas'!B12</f>
        <v>0</v>
      </c>
      <c r="N179" s="1">
        <f>IF(E179&gt;'Resumen'!$B$14,'Tramos_red'!P18,0)</f>
        <v>0</v>
      </c>
      <c r="O179" s="1">
        <f>IF(E179&gt;'Resumen'!$B$14,'Tramos_red'!Q18,0)</f>
        <v>0</v>
      </c>
      <c r="P179" s="1">
        <f>IF(E179&gt;'Resumen'!$B$14,'Tramos_red'!R18,0)</f>
        <v>0</v>
      </c>
      <c r="Q179" s="1">
        <f>IF(E179&lt;='Resumen'!$B$14,0,IF('Entradas'!$B$5=0,"sin U",IF(P179=0,"infinita",E179/('Entradas'!$B$5*P179))))</f>
        <v>0</v>
      </c>
    </row>
    <row r="180" spans="1:17" ht="21" customHeight="1">
      <c r="A180" s="4" t="s">
        <v>279</v>
      </c>
      <c r="B180" s="1">
        <v>15</v>
      </c>
      <c r="C180" s="4" t="str">
        <f>'Entradas'!A13</f>
        <v>C3</v>
      </c>
      <c r="D180" s="4" t="str">
        <f>'Entradas'!A14</f>
        <v>C4</v>
      </c>
      <c r="E180" s="1">
        <f>'Tramos_red'!M18*'Tramos_red'!V18*'Tramos_red'!AA18</f>
        <v>0.0</v>
      </c>
      <c r="F180" s="1">
        <f>IF(E180&gt;'Resumen'!$B$14,'Tramos_red'!J18,"")</f>
        <v/>
      </c>
      <c r="G180" s="1">
        <f>IF(E180&gt;'Resumen'!$B$14,'Tramos_red'!I18,"")</f>
        <v/>
      </c>
      <c r="H180" s="1">
        <f>IF(E180&gt;'Resumen'!$B$14,'Tramos_red'!K18,"")</f>
        <v/>
      </c>
      <c r="I180" s="1">
        <f>IF(E180&gt;'Resumen'!$B$14,'Tramos_red'!L18,"")</f>
        <v/>
      </c>
      <c r="J180" s="6">
        <f>IF(E180&gt;'Resumen'!$B$14,'Tramos_red'!AA18,0)</f>
        <v>0</v>
      </c>
      <c r="K180" s="6">
        <f>IF(E180&gt;'Resumen'!$B$14,'Tramos_red'!V18,0)</f>
        <v>0</v>
      </c>
      <c r="L180" s="1">
        <f>J180*'Entradas'!B13</f>
        <v>0</v>
      </c>
      <c r="M180" s="1">
        <f>K180*'Entradas'!B14</f>
        <v>0</v>
      </c>
      <c r="N180" s="1">
        <f>IF(E180&gt;'Resumen'!$B$14,'Tramos_red'!P18,0)</f>
        <v>0</v>
      </c>
      <c r="O180" s="1">
        <f>IF(E180&gt;'Resumen'!$B$14,'Tramos_red'!Q18,0)</f>
        <v>0</v>
      </c>
      <c r="P180" s="1">
        <f>IF(E180&gt;'Resumen'!$B$14,'Tramos_red'!R18,0)</f>
        <v>0</v>
      </c>
      <c r="Q180" s="1">
        <f>IF(E180&lt;='Resumen'!$B$14,0,IF('Entradas'!$B$5=0,"sin U",IF(P180=0,"infinita",E180/('Entradas'!$B$5*P180))))</f>
        <v>0</v>
      </c>
    </row>
    <row r="181" spans="1:17" ht="21" customHeight="1">
      <c r="A181" s="4" t="s">
        <v>280</v>
      </c>
      <c r="B181" s="1">
        <v>15</v>
      </c>
      <c r="C181" s="4" t="str">
        <f>'Entradas'!A14</f>
        <v>C4</v>
      </c>
      <c r="D181" s="4" t="str">
        <f>'Entradas'!A11</f>
        <v>H1</v>
      </c>
      <c r="E181" s="1">
        <f>'Tramos_red'!M18*'Tramos_red'!W18*'Tramos_red'!X18</f>
        <v>0.0</v>
      </c>
      <c r="F181" s="1">
        <f>IF(E181&gt;'Resumen'!$B$14,'Tramos_red'!J18,"")</f>
        <v/>
      </c>
      <c r="G181" s="1">
        <f>IF(E181&gt;'Resumen'!$B$14,'Tramos_red'!I18,"")</f>
        <v/>
      </c>
      <c r="H181" s="1">
        <f>IF(E181&gt;'Resumen'!$B$14,'Tramos_red'!K18,"")</f>
        <v/>
      </c>
      <c r="I181" s="1">
        <f>IF(E181&gt;'Resumen'!$B$14,'Tramos_red'!L18,"")</f>
        <v/>
      </c>
      <c r="J181" s="6">
        <f>IF(E181&gt;'Resumen'!$B$14,'Tramos_red'!X18,0)</f>
        <v>0</v>
      </c>
      <c r="K181" s="6">
        <f>IF(E181&gt;'Resumen'!$B$14,'Tramos_red'!W18,0)</f>
        <v>0</v>
      </c>
      <c r="L181" s="1">
        <f>J181*'Entradas'!B14</f>
        <v>0</v>
      </c>
      <c r="M181" s="1">
        <f>K181*'Entradas'!B11</f>
        <v>0</v>
      </c>
      <c r="N181" s="1">
        <f>IF(E181&gt;'Resumen'!$B$14,'Tramos_red'!P18,0)</f>
        <v>0</v>
      </c>
      <c r="O181" s="1">
        <f>IF(E181&gt;'Resumen'!$B$14,'Tramos_red'!Q18,0)</f>
        <v>0</v>
      </c>
      <c r="P181" s="1">
        <f>IF(E181&gt;'Resumen'!$B$14,'Tramos_red'!R18,0)</f>
        <v>0</v>
      </c>
      <c r="Q181" s="1">
        <f>IF(E181&lt;='Resumen'!$B$14,0,IF('Entradas'!$B$5=0,"sin U",IF(P181=0,"infinita",E181/('Entradas'!$B$5*P181))))</f>
        <v>0</v>
      </c>
    </row>
    <row r="182" spans="1:17" ht="21" customHeight="1">
      <c r="A182" s="4" t="s">
        <v>281</v>
      </c>
      <c r="B182" s="1">
        <v>15</v>
      </c>
      <c r="C182" s="4" t="str">
        <f>'Entradas'!A14</f>
        <v>C4</v>
      </c>
      <c r="D182" s="4" t="str">
        <f>'Entradas'!A12</f>
        <v>H2</v>
      </c>
      <c r="E182" s="1">
        <f>'Tramos_red'!M18*'Tramos_red'!W18*'Tramos_red'!Y18</f>
        <v>0.0</v>
      </c>
      <c r="F182" s="1">
        <f>IF(E182&gt;'Resumen'!$B$14,'Tramos_red'!J18,"")</f>
        <v/>
      </c>
      <c r="G182" s="1">
        <f>IF(E182&gt;'Resumen'!$B$14,'Tramos_red'!I18,"")</f>
        <v/>
      </c>
      <c r="H182" s="1">
        <f>IF(E182&gt;'Resumen'!$B$14,'Tramos_red'!K18,"")</f>
        <v/>
      </c>
      <c r="I182" s="1">
        <f>IF(E182&gt;'Resumen'!$B$14,'Tramos_red'!L18,"")</f>
        <v/>
      </c>
      <c r="J182" s="6">
        <f>IF(E182&gt;'Resumen'!$B$14,'Tramos_red'!Y18,0)</f>
        <v>0</v>
      </c>
      <c r="K182" s="6">
        <f>IF(E182&gt;'Resumen'!$B$14,'Tramos_red'!W18,0)</f>
        <v>0</v>
      </c>
      <c r="L182" s="1">
        <f>J182*'Entradas'!B14</f>
        <v>0</v>
      </c>
      <c r="M182" s="1">
        <f>K182*'Entradas'!B12</f>
        <v>0</v>
      </c>
      <c r="N182" s="1">
        <f>IF(E182&gt;'Resumen'!$B$14,'Tramos_red'!P18,0)</f>
        <v>0</v>
      </c>
      <c r="O182" s="1">
        <f>IF(E182&gt;'Resumen'!$B$14,'Tramos_red'!Q18,0)</f>
        <v>0</v>
      </c>
      <c r="P182" s="1">
        <f>IF(E182&gt;'Resumen'!$B$14,'Tramos_red'!R18,0)</f>
        <v>0</v>
      </c>
      <c r="Q182" s="1">
        <f>IF(E182&lt;='Resumen'!$B$14,0,IF('Entradas'!$B$5=0,"sin U",IF(P182=0,"infinita",E182/('Entradas'!$B$5*P182))))</f>
        <v>0</v>
      </c>
    </row>
    <row r="183" spans="1:17" ht="21" customHeight="1">
      <c r="A183" s="4" t="s">
        <v>282</v>
      </c>
      <c r="B183" s="1">
        <v>15</v>
      </c>
      <c r="C183" s="4" t="str">
        <f>'Entradas'!A14</f>
        <v>C4</v>
      </c>
      <c r="D183" s="4" t="str">
        <f>'Entradas'!A13</f>
        <v>C3</v>
      </c>
      <c r="E183" s="1">
        <f>'Tramos_red'!M18*'Tramos_red'!W18*'Tramos_red'!Z18</f>
        <v>0.0</v>
      </c>
      <c r="F183" s="1">
        <f>IF(E183&gt;'Resumen'!$B$14,'Tramos_red'!J18,"")</f>
        <v/>
      </c>
      <c r="G183" s="1">
        <f>IF(E183&gt;'Resumen'!$B$14,'Tramos_red'!I18,"")</f>
        <v/>
      </c>
      <c r="H183" s="1">
        <f>IF(E183&gt;'Resumen'!$B$14,'Tramos_red'!K18,"")</f>
        <v/>
      </c>
      <c r="I183" s="1">
        <f>IF(E183&gt;'Resumen'!$B$14,'Tramos_red'!L18,"")</f>
        <v/>
      </c>
      <c r="J183" s="6">
        <f>IF(E183&gt;'Resumen'!$B$14,'Tramos_red'!Z18,0)</f>
        <v>0</v>
      </c>
      <c r="K183" s="6">
        <f>IF(E183&gt;'Resumen'!$B$14,'Tramos_red'!W18,0)</f>
        <v>0</v>
      </c>
      <c r="L183" s="1">
        <f>J183*'Entradas'!B14</f>
        <v>0</v>
      </c>
      <c r="M183" s="1">
        <f>K183*'Entradas'!B13</f>
        <v>0</v>
      </c>
      <c r="N183" s="1">
        <f>IF(E183&gt;'Resumen'!$B$14,'Tramos_red'!P18,0)</f>
        <v>0</v>
      </c>
      <c r="O183" s="1">
        <f>IF(E183&gt;'Resumen'!$B$14,'Tramos_red'!Q18,0)</f>
        <v>0</v>
      </c>
      <c r="P183" s="1">
        <f>IF(E183&gt;'Resumen'!$B$14,'Tramos_red'!R18,0)</f>
        <v>0</v>
      </c>
      <c r="Q183" s="1">
        <f>IF(E183&lt;='Resumen'!$B$14,0,IF('Entradas'!$B$5=0,"sin U",IF(P183=0,"infinita",E183/('Entradas'!$B$5*P183))))</f>
        <v>0</v>
      </c>
    </row>
  </sheetData>
  <autoFilter ref="A3:Q183"/>
  <mergeCells count="2">
    <mergeCell ref="A1:J1"/>
    <mergeCell ref="A2:J2"/>
  </mergeCells>
  <conditionalFormatting sqref="E4:E183">
    <cfRule type="cellIs" dxfId="3" priority="1" operator="greaterThan">
      <formula>0.00054</formula>
    </cfRule>
  </conditionalFormatting>
  <pageMargins left="0.3" right="0.3" top="0.4" bottom="0.4" header="0.3" footer="0.3"/>
  <pageSetup paperSize="9" fitToHeight="0" orientation="landscape"/>
  <headerFooter>
    <oddFooter>&amp;LPinch Lab&amp;RPágina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A8B8CA"/>
    <pageSetUpPr fitToPage="1"/>
  </sheetPr>
  <dimension ref="A1:AE11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1" customHeight="1"/>
  <cols>
    <col min="1" max="31" width="15.7109375" style="1" customWidth="1"/>
  </cols>
  <sheetData>
    <row r="1" spans="1:13" ht="35" customHeight="1">
      <c r="A1" s="2" t="s">
        <v>21</v>
      </c>
      <c r="B1" s="2"/>
      <c r="C1" s="2"/>
      <c r="D1" s="2"/>
      <c r="E1" s="2"/>
      <c r="F1" s="2"/>
      <c r="G1" s="2"/>
      <c r="H1" s="2"/>
      <c r="I1" s="2"/>
      <c r="J1" s="2"/>
    </row>
    <row r="2" spans="1:13" ht="33" customHeight="1">
      <c r="A2" s="3" t="s">
        <v>22</v>
      </c>
      <c r="B2" s="3"/>
      <c r="C2" s="3"/>
      <c r="D2" s="3"/>
      <c r="E2" s="3"/>
      <c r="F2" s="3"/>
      <c r="G2" s="3"/>
      <c r="H2" s="3"/>
      <c r="I2" s="3"/>
      <c r="J2" s="3"/>
    </row>
    <row r="3" spans="1:13" ht="36" customHeight="1">
      <c r="A3" s="7" t="s">
        <v>23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</row>
    <row r="4" spans="1:13" ht="21" customHeight="1">
      <c r="A4" s="1">
        <f>'Entradas'!J11</f>
        <v>115.0</v>
      </c>
      <c r="B4" s="1">
        <f>LARGE($A$4:$A$11,1)</f>
        <v>245.0</v>
      </c>
      <c r="C4" s="1">
        <f>B4-B5</f>
        <v>50.0</v>
      </c>
      <c r="D4" s="1">
        <f>SUMPRODUCT(--('Entradas'!$E$11:$E$14="HOT"),--('Entradas'!$J$11:$J$14&lt;=(B4+B5)/2),--('Entradas'!$K$11:$K$14 &gt;=(B4+B5)/2),'Entradas'!$B$11:$B$14)</f>
        <v>1000.0</v>
      </c>
      <c r="E4" s="1">
        <f>SUMPRODUCT(--('Entradas'!$E$11:$E$14="COLD"),--('Entradas'!$J$11:$J$14&lt;=(B4+B5)/2),--('Entradas'!$K$11:$K$14 &gt;=(B4+B5)/2),'Entradas'!$B$11:$B$14)</f>
        <v>0.0</v>
      </c>
      <c r="F4" s="1">
        <f>D4-E4</f>
        <v>1000.0</v>
      </c>
      <c r="G4" s="1">
        <f>C4*F4</f>
        <v>50000.0</v>
      </c>
      <c r="H4" s="1">
        <f>0</f>
        <v>0.0</v>
      </c>
      <c r="I4" s="1">
        <f>H4+'Resumen'!$B$7</f>
        <v>70000.0</v>
      </c>
      <c r="J4" s="1">
        <f>IF(ABS(I4)&lt;='Resumen'!$B$14,B4,"")</f>
        <v/>
      </c>
      <c r="K4" s="1">
        <f>IF(ISNUMBER(J4),J4+'Entradas'!$B$4/2,"")</f>
        <v/>
      </c>
      <c r="L4" s="1">
        <f>IF(ISNUMBER(J4),J4-'Entradas'!$B$4/2,"")</f>
        <v/>
      </c>
      <c r="M4" s="4">
        <f>IF(ISNUMBER(J4),IF(OR(B4=$B$4,B4=$B$11),"umbral","interior"),"")</f>
        <v/>
      </c>
    </row>
    <row r="5" spans="1:13" ht="21" customHeight="1">
      <c r="A5" s="1">
        <f>'Entradas'!K11</f>
        <v>245.0</v>
      </c>
      <c r="B5" s="1">
        <f>LARGE($A$4:$A$11,2)</f>
        <v>195.0</v>
      </c>
      <c r="C5" s="1">
        <f>B5-B6</f>
        <v>0.0</v>
      </c>
      <c r="D5" s="1">
        <f>SUMPRODUCT(--('Entradas'!$E$11:$E$14="HOT"),--('Entradas'!$J$11:$J$14&lt;=(B5+B6)/2),--('Entradas'!$K$11:$K$14 &gt;=(B5+B6)/2),'Entradas'!$B$11:$B$14)</f>
        <v>5000.0</v>
      </c>
      <c r="E5" s="1">
        <f>SUMPRODUCT(--('Entradas'!$E$11:$E$14="COLD"),--('Entradas'!$J$11:$J$14&lt;=(B5+B6)/2),--('Entradas'!$K$11:$K$14 &gt;=(B5+B6)/2),'Entradas'!$B$11:$B$14)</f>
        <v>6000.0</v>
      </c>
      <c r="F5" s="1">
        <f>D5-E5</f>
        <v>-1000.0</v>
      </c>
      <c r="G5" s="1">
        <f>C5*F5</f>
        <v>-0.0</v>
      </c>
      <c r="H5" s="1">
        <f>H4+G4</f>
        <v>50000.0</v>
      </c>
      <c r="I5" s="1">
        <f>H5+'Resumen'!$B$7</f>
        <v>120000.0</v>
      </c>
      <c r="J5" s="1">
        <f>IF(ABS(I5)&lt;='Resumen'!$B$14,B5,"")</f>
        <v/>
      </c>
      <c r="K5" s="1">
        <f>IF(ISNUMBER(J5),J5+'Entradas'!$B$4/2,"")</f>
        <v/>
      </c>
      <c r="L5" s="1">
        <f>IF(ISNUMBER(J5),J5-'Entradas'!$B$4/2,"")</f>
        <v/>
      </c>
      <c r="M5" s="4">
        <f>IF(ISNUMBER(J5),IF(OR(B5=$B$4,B5=$B$11),"umbral","interior"),"")</f>
        <v/>
      </c>
    </row>
    <row r="6" spans="1:13" ht="21" customHeight="1">
      <c r="A6" s="1">
        <f>'Entradas'!J12</f>
        <v>95.0</v>
      </c>
      <c r="B6" s="1">
        <f>LARGE($A$4:$A$11,3)</f>
        <v>195.0</v>
      </c>
      <c r="C6" s="1">
        <f>B6-B7</f>
        <v>40.0</v>
      </c>
      <c r="D6" s="1">
        <f>SUMPRODUCT(--('Entradas'!$E$11:$E$14="HOT"),--('Entradas'!$J$11:$J$14&lt;=(B6+B7)/2),--('Entradas'!$K$11:$K$14 &gt;=(B6+B7)/2),'Entradas'!$B$11:$B$14)</f>
        <v>5000.0</v>
      </c>
      <c r="E6" s="1">
        <f>SUMPRODUCT(--('Entradas'!$E$11:$E$14="COLD"),--('Entradas'!$J$11:$J$14&lt;=(B6+B7)/2),--('Entradas'!$K$11:$K$14 &gt;=(B6+B7)/2),'Entradas'!$B$11:$B$14)</f>
        <v>6000.0</v>
      </c>
      <c r="F6" s="1">
        <f>D6-E6</f>
        <v>-1000.0</v>
      </c>
      <c r="G6" s="1">
        <f>C6*F6</f>
        <v>-40000.0</v>
      </c>
      <c r="H6" s="1">
        <f>H5+G5</f>
        <v>50000.0</v>
      </c>
      <c r="I6" s="1">
        <f>H6+'Resumen'!$B$7</f>
        <v>120000.0</v>
      </c>
      <c r="J6" s="1">
        <f>IF(ABS(I6)&lt;='Resumen'!$B$14,B6,"")</f>
        <v/>
      </c>
      <c r="K6" s="1">
        <f>IF(ISNUMBER(J6),J6+'Entradas'!$B$4/2,"")</f>
        <v/>
      </c>
      <c r="L6" s="1">
        <f>IF(ISNUMBER(J6),J6-'Entradas'!$B$4/2,"")</f>
        <v/>
      </c>
      <c r="M6" s="4">
        <f>IF(ISNUMBER(J6),IF(OR(B6=$B$4,B6=$B$11),"umbral","interior"),"")</f>
        <v/>
      </c>
    </row>
    <row r="7" spans="1:13" ht="21" customHeight="1">
      <c r="A7" s="1">
        <f>'Entradas'!K12</f>
        <v>195.0</v>
      </c>
      <c r="B7" s="1">
        <f>LARGE($A$4:$A$11,4)</f>
        <v>155.0</v>
      </c>
      <c r="C7" s="1">
        <f>B7-B8</f>
        <v>20.0</v>
      </c>
      <c r="D7" s="1">
        <f>SUMPRODUCT(--('Entradas'!$E$11:$E$14="HOT"),--('Entradas'!$J$11:$J$14&lt;=(B7+B8)/2),--('Entradas'!$K$11:$K$14 &gt;=(B7+B8)/2),'Entradas'!$B$11:$B$14)</f>
        <v>5000.0</v>
      </c>
      <c r="E7" s="1">
        <f>SUMPRODUCT(--('Entradas'!$E$11:$E$14="COLD"),--('Entradas'!$J$11:$J$14&lt;=(B7+B8)/2),--('Entradas'!$K$11:$K$14 &gt;=(B7+B8)/2),'Entradas'!$B$11:$B$14)</f>
        <v>9000.0</v>
      </c>
      <c r="F7" s="1">
        <f>D7-E7</f>
        <v>-4000.0</v>
      </c>
      <c r="G7" s="1">
        <f>C7*F7</f>
        <v>-80000.0</v>
      </c>
      <c r="H7" s="1">
        <f>H6+G6</f>
        <v>10000.0</v>
      </c>
      <c r="I7" s="1">
        <f>H7+'Resumen'!$B$7</f>
        <v>80000.0</v>
      </c>
      <c r="J7" s="1">
        <f>IF(ABS(I7)&lt;='Resumen'!$B$14,B7,"")</f>
        <v/>
      </c>
      <c r="K7" s="1">
        <f>IF(ISNUMBER(J7),J7+'Entradas'!$B$4/2,"")</f>
        <v/>
      </c>
      <c r="L7" s="1">
        <f>IF(ISNUMBER(J7),J7-'Entradas'!$B$4/2,"")</f>
        <v/>
      </c>
      <c r="M7" s="4">
        <f>IF(ISNUMBER(J7),IF(OR(B7=$B$4,B7=$B$11),"umbral","interior"),"")</f>
        <v/>
      </c>
    </row>
    <row r="8" spans="1:13" ht="21" customHeight="1">
      <c r="A8" s="1">
        <f>'Entradas'!J13</f>
        <v>95.0</v>
      </c>
      <c r="B8" s="1">
        <f>LARGE($A$4:$A$11,5)</f>
        <v>135.0</v>
      </c>
      <c r="C8" s="1">
        <f>B8-B9</f>
        <v>20.0</v>
      </c>
      <c r="D8" s="1">
        <f>SUMPRODUCT(--('Entradas'!$E$11:$E$14="HOT"),--('Entradas'!$J$11:$J$14&lt;=(B8+B9)/2),--('Entradas'!$K$11:$K$14 &gt;=(B8+B9)/2),'Entradas'!$B$11:$B$14)</f>
        <v>5000.0</v>
      </c>
      <c r="E8" s="1">
        <f>SUMPRODUCT(--('Entradas'!$E$11:$E$14="COLD"),--('Entradas'!$J$11:$J$14&lt;=(B8+B9)/2),--('Entradas'!$K$11:$K$14 &gt;=(B8+B9)/2),'Entradas'!$B$11:$B$14)</f>
        <v>3000.0</v>
      </c>
      <c r="F8" s="1">
        <f>D8-E8</f>
        <v>2000.0</v>
      </c>
      <c r="G8" s="1">
        <f>C8*F8</f>
        <v>40000.0</v>
      </c>
      <c r="H8" s="1">
        <f>H7+G7</f>
        <v>-70000.0</v>
      </c>
      <c r="I8" s="1">
        <f>H8+'Resumen'!$B$7</f>
        <v>0.0</v>
      </c>
      <c r="J8" s="1">
        <f>IF(ABS(I8)&lt;='Resumen'!$B$14,B8,"")</f>
        <v>135.0</v>
      </c>
      <c r="K8" s="1">
        <f>IF(ISNUMBER(J8),J8+'Entradas'!$B$4/2,"")</f>
        <v>140.0</v>
      </c>
      <c r="L8" s="1">
        <f>IF(ISNUMBER(J8),J8-'Entradas'!$B$4/2,"")</f>
        <v>130.0</v>
      </c>
      <c r="M8" s="4" t="str">
        <f>IF(ISNUMBER(J8),IF(OR(B8=$B$4,B8=$B$11),"umbral","interior"),"")</f>
        <v>interior</v>
      </c>
    </row>
    <row r="9" spans="1:13" ht="21" customHeight="1">
      <c r="A9" s="1">
        <f>'Entradas'!K13</f>
        <v>155.0</v>
      </c>
      <c r="B9" s="1">
        <f>LARGE($A$4:$A$11,6)</f>
        <v>115.0</v>
      </c>
      <c r="C9" s="1">
        <f>B9-B10</f>
        <v>20.0</v>
      </c>
      <c r="D9" s="1">
        <f>SUMPRODUCT(--('Entradas'!$E$11:$E$14="HOT"),--('Entradas'!$J$11:$J$14&lt;=(B9+B10)/2),--('Entradas'!$K$11:$K$14 &gt;=(B9+B10)/2),'Entradas'!$B$11:$B$14)</f>
        <v>4000.0</v>
      </c>
      <c r="E9" s="1">
        <f>SUMPRODUCT(--('Entradas'!$E$11:$E$14="COLD"),--('Entradas'!$J$11:$J$14&lt;=(B9+B10)/2),--('Entradas'!$K$11:$K$14 &gt;=(B9+B10)/2),'Entradas'!$B$11:$B$14)</f>
        <v>3000.0</v>
      </c>
      <c r="F9" s="1">
        <f>D9-E9</f>
        <v>1000.0</v>
      </c>
      <c r="G9" s="1">
        <f>C9*F9</f>
        <v>20000.0</v>
      </c>
      <c r="H9" s="1">
        <f>H8+G8</f>
        <v>-30000.0</v>
      </c>
      <c r="I9" s="1">
        <f>H9+'Resumen'!$B$7</f>
        <v>40000.0</v>
      </c>
      <c r="J9" s="1">
        <f>IF(ABS(I9)&lt;='Resumen'!$B$14,B9,"")</f>
        <v/>
      </c>
      <c r="K9" s="1">
        <f>IF(ISNUMBER(J9),J9+'Entradas'!$B$4/2,"")</f>
        <v/>
      </c>
      <c r="L9" s="1">
        <f>IF(ISNUMBER(J9),J9-'Entradas'!$B$4/2,"")</f>
        <v/>
      </c>
      <c r="M9" s="4">
        <f>IF(ISNUMBER(J9),IF(OR(B9=$B$4,B9=$B$11),"umbral","interior"),"")</f>
        <v/>
      </c>
    </row>
    <row r="10" spans="1:13" ht="21" customHeight="1">
      <c r="A10" s="1">
        <f>'Entradas'!J14</f>
        <v>135.0</v>
      </c>
      <c r="B10" s="1">
        <f>LARGE($A$4:$A$11,7)</f>
        <v>95.0</v>
      </c>
      <c r="C10" s="1">
        <f>B10-B11</f>
        <v>0.0</v>
      </c>
      <c r="D10" s="1">
        <f>SUMPRODUCT(--('Entradas'!$E$11:$E$14="HOT"),--('Entradas'!$J$11:$J$14&lt;=(B10+B11)/2),--('Entradas'!$K$11:$K$14 &gt;=(B10+B11)/2),'Entradas'!$B$11:$B$14)</f>
        <v>4000.0</v>
      </c>
      <c r="E10" s="1">
        <f>SUMPRODUCT(--('Entradas'!$E$11:$E$14="COLD"),--('Entradas'!$J$11:$J$14&lt;=(B10+B11)/2),--('Entradas'!$K$11:$K$14 &gt;=(B10+B11)/2),'Entradas'!$B$11:$B$14)</f>
        <v>3000.0</v>
      </c>
      <c r="F10" s="1">
        <f>D10-E10</f>
        <v>1000.0</v>
      </c>
      <c r="G10" s="1">
        <f>C10*F10</f>
        <v>0.0</v>
      </c>
      <c r="H10" s="1">
        <f>H9+G9</f>
        <v>-10000.0</v>
      </c>
      <c r="I10" s="1">
        <f>H10+'Resumen'!$B$7</f>
        <v>60000.0</v>
      </c>
      <c r="J10" s="1">
        <f>IF(ABS(I10)&lt;='Resumen'!$B$14,B10,"")</f>
        <v/>
      </c>
      <c r="K10" s="1">
        <f>IF(ISNUMBER(J10),J10+'Entradas'!$B$4/2,"")</f>
        <v/>
      </c>
      <c r="L10" s="1">
        <f>IF(ISNUMBER(J10),J10-'Entradas'!$B$4/2,"")</f>
        <v/>
      </c>
      <c r="M10" s="4">
        <f>IF(ISNUMBER(J10),IF(OR(B10=$B$4,B10=$B$11),"umbral","interior"),"")</f>
        <v/>
      </c>
    </row>
    <row r="11" spans="1:13" ht="21" customHeight="1">
      <c r="A11" s="1">
        <f>'Entradas'!K14</f>
        <v>195.0</v>
      </c>
      <c r="B11" s="1">
        <f>LARGE($A$4:$A$11,8)</f>
        <v>95.0</v>
      </c>
      <c r="H11" s="1">
        <f>H10+G10</f>
        <v>-10000.0</v>
      </c>
      <c r="I11" s="1">
        <f>H11+'Resumen'!$B$7</f>
        <v>60000.0</v>
      </c>
      <c r="J11" s="1">
        <f>IF(ABS(I11)&lt;='Resumen'!$B$14,B11,"")</f>
        <v/>
      </c>
      <c r="K11" s="1">
        <f>IF(ISNUMBER(J11),J11+'Entradas'!$B$4/2,"")</f>
        <v/>
      </c>
      <c r="L11" s="1">
        <f>IF(ISNUMBER(J11),J11-'Entradas'!$B$4/2,"")</f>
        <v/>
      </c>
      <c r="M11" s="4">
        <f>IF(ISNUMBER(J11),IF(OR(B11=$B$4,B11=$B$11),"umbral","interior"),"")</f>
        <v/>
      </c>
    </row>
  </sheetData>
  <mergeCells count="2">
    <mergeCell ref="A1:J1"/>
    <mergeCell ref="A2:J2"/>
  </mergeCells>
  <pageMargins left="0.3" right="0.3" top="0.4" bottom="0.4" header="0.3" footer="0.3"/>
  <pageSetup paperSize="9" fitToHeight="0" orientation="landscape"/>
  <headerFooter>
    <oddFooter>&amp;LPinch Lab&amp;RPágina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A8B8CA"/>
    <pageSetUpPr fitToPage="1"/>
  </sheetPr>
  <dimension ref="A1:AE24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1" customHeight="1"/>
  <cols>
    <col min="1" max="31" width="15.7109375" style="1" customWidth="1"/>
  </cols>
  <sheetData>
    <row r="1" spans="1:15" ht="35" customHeight="1">
      <c r="A1" s="2" t="s">
        <v>36</v>
      </c>
      <c r="B1" s="2"/>
      <c r="C1" s="2"/>
      <c r="D1" s="2"/>
      <c r="E1" s="2"/>
      <c r="F1" s="2"/>
      <c r="G1" s="2"/>
      <c r="H1" s="2"/>
      <c r="I1" s="2"/>
      <c r="J1" s="2"/>
    </row>
    <row r="2" spans="1:15" ht="33" customHeight="1">
      <c r="A2" s="3" t="s">
        <v>37</v>
      </c>
      <c r="B2" s="3"/>
      <c r="C2" s="3"/>
      <c r="D2" s="3"/>
      <c r="E2" s="3"/>
      <c r="F2" s="3"/>
      <c r="G2" s="3"/>
      <c r="H2" s="3"/>
      <c r="I2" s="3"/>
      <c r="J2" s="3"/>
    </row>
    <row r="3" spans="1:15" ht="36" customHeight="1">
      <c r="A3" s="7" t="s">
        <v>38</v>
      </c>
      <c r="B3" s="7" t="s">
        <v>39</v>
      </c>
      <c r="C3" s="7" t="s">
        <v>40</v>
      </c>
      <c r="D3" s="7" t="s">
        <v>26</v>
      </c>
      <c r="E3" s="7" t="s">
        <v>27</v>
      </c>
      <c r="F3" s="7" t="s">
        <v>41</v>
      </c>
      <c r="G3" s="7" t="s">
        <v>42</v>
      </c>
      <c r="H3" s="7" t="s">
        <v>43</v>
      </c>
      <c r="I3" s="7" t="s">
        <v>44</v>
      </c>
      <c r="J3" s="7" t="s">
        <v>45</v>
      </c>
      <c r="K3" s="7" t="s">
        <v>46</v>
      </c>
      <c r="L3" s="7" t="s">
        <v>47</v>
      </c>
      <c r="M3" s="7" t="s">
        <v>48</v>
      </c>
      <c r="N3" s="7" t="s">
        <v>49</v>
      </c>
      <c r="O3" s="7" t="s">
        <v>50</v>
      </c>
    </row>
    <row r="4" spans="1:15" ht="21" customHeight="1">
      <c r="A4" s="1">
        <f>'Entradas'!H11</f>
        <v>120</v>
      </c>
      <c r="B4" s="1">
        <f>SMALL($A$4:$A$11,1)</f>
        <v>90.0</v>
      </c>
      <c r="C4" s="1">
        <f>(B4+B5)/2</f>
        <v>95.0</v>
      </c>
      <c r="D4" s="1">
        <f>SUMPRODUCT(--('Entradas'!$E$11:$E$14="HOT"),--('Entradas'!$H$11:$H$14&lt;=C4),--('Entradas'!$I$11:$I$14&gt;=C4),'Entradas'!$B$11:$B$14)</f>
        <v>0.0</v>
      </c>
      <c r="E4" s="1">
        <f>SUMPRODUCT(--('Entradas'!$E$11:$E$14="COLD"),--('Entradas'!$H$11:$H$14&lt;=C4),--('Entradas'!$I$11:$I$14&gt;=C4),'Entradas'!$B$11:$B$14)</f>
        <v>3000.0</v>
      </c>
      <c r="F4" s="1">
        <f>D4*(B5-B4)</f>
        <v>0.0</v>
      </c>
      <c r="G4" s="1">
        <f>E4*(B5-B4)</f>
        <v>30000.0</v>
      </c>
      <c r="H4" s="1">
        <f>0</f>
        <v>0.0</v>
      </c>
      <c r="I4" s="1">
        <f>0</f>
        <v>0.0</v>
      </c>
      <c r="J4" s="1">
        <f>I4+'Resumen'!$B$8</f>
        <v>60000.0</v>
      </c>
      <c r="K4" s="1">
        <f>IF(OR(H5&gt;H4),B4,"")</f>
        <v/>
      </c>
      <c r="L4" s="1">
        <f>IF(OR(I5&gt;I4),B4,"")</f>
        <v>90.0</v>
      </c>
      <c r="M4" s="1">
        <f>IF(ISNUMBER(K4),K4+-1*'Entradas'!$B$4/2,"")</f>
        <v/>
      </c>
      <c r="N4" s="1">
        <f>IF(ISNUMBER(L4),L4+1*'Entradas'!$B$4/2,"")</f>
        <v>95.0</v>
      </c>
      <c r="O4" s="1">
        <v>1</v>
      </c>
    </row>
    <row r="5" spans="1:15" ht="21" customHeight="1">
      <c r="A5" s="1">
        <f>'Entradas'!I11</f>
        <v>250</v>
      </c>
      <c r="B5" s="1">
        <f>SMALL($A$4:$A$11,2)</f>
        <v>100.0</v>
      </c>
      <c r="C5" s="1">
        <f>(B5+B6)/2</f>
        <v>110.0</v>
      </c>
      <c r="D5" s="1">
        <f>SUMPRODUCT(--('Entradas'!$E$11:$E$14="HOT"),--('Entradas'!$H$11:$H$14&lt;=C5),--('Entradas'!$I$11:$I$14&gt;=C5),'Entradas'!$B$11:$B$14)</f>
        <v>4000.0</v>
      </c>
      <c r="E5" s="1">
        <f>SUMPRODUCT(--('Entradas'!$E$11:$E$14="COLD"),--('Entradas'!$H$11:$H$14&lt;=C5),--('Entradas'!$I$11:$I$14&gt;=C5),'Entradas'!$B$11:$B$14)</f>
        <v>3000.0</v>
      </c>
      <c r="F5" s="1">
        <f>D5*(B6-B5)</f>
        <v>80000.0</v>
      </c>
      <c r="G5" s="1">
        <f>E5*(B6-B5)</f>
        <v>60000.0</v>
      </c>
      <c r="H5" s="1">
        <f>H4+F4</f>
        <v>0.0</v>
      </c>
      <c r="I5" s="1">
        <f>I4+G4</f>
        <v>30000.0</v>
      </c>
      <c r="J5" s="1">
        <f>I5+'Resumen'!$B$8</f>
        <v>90000.0</v>
      </c>
      <c r="K5" s="1">
        <f>IF(OR(H5&gt;H4,H6&gt;H5),B5,"")</f>
        <v>100.0</v>
      </c>
      <c r="L5" s="1">
        <f>IF(OR(I5&gt;I4,I6&gt;I5),B5,"")</f>
        <v>100.0</v>
      </c>
      <c r="M5" s="1">
        <f>IF(ISNUMBER(K5),K5+-1*'Entradas'!$B$4/2,"")</f>
        <v>95.0</v>
      </c>
      <c r="N5" s="1">
        <f>IF(ISNUMBER(L5),L5+1*'Entradas'!$B$4/2,"")</f>
        <v>105.0</v>
      </c>
      <c r="O5" s="1">
        <v>2</v>
      </c>
    </row>
    <row r="6" spans="1:15" ht="21" customHeight="1">
      <c r="A6" s="1">
        <f>'Entradas'!H12</f>
        <v>100</v>
      </c>
      <c r="B6" s="1">
        <f>SMALL($A$4:$A$11,3)</f>
        <v>120.0</v>
      </c>
      <c r="C6" s="1">
        <f>(B6+B7)/2</f>
        <v>125.0</v>
      </c>
      <c r="D6" s="1">
        <f>SUMPRODUCT(--('Entradas'!$E$11:$E$14="HOT"),--('Entradas'!$H$11:$H$14&lt;=C6),--('Entradas'!$I$11:$I$14&gt;=C6),'Entradas'!$B$11:$B$14)</f>
        <v>5000.0</v>
      </c>
      <c r="E6" s="1">
        <f>SUMPRODUCT(--('Entradas'!$E$11:$E$14="COLD"),--('Entradas'!$H$11:$H$14&lt;=C6),--('Entradas'!$I$11:$I$14&gt;=C6),'Entradas'!$B$11:$B$14)</f>
        <v>3000.0</v>
      </c>
      <c r="F6" s="1">
        <f>D6*(B7-B6)</f>
        <v>50000.0</v>
      </c>
      <c r="G6" s="1">
        <f>E6*(B7-B6)</f>
        <v>30000.0</v>
      </c>
      <c r="H6" s="1">
        <f>H5+F5</f>
        <v>80000.0</v>
      </c>
      <c r="I6" s="1">
        <f>I5+G5</f>
        <v>90000.0</v>
      </c>
      <c r="J6" s="1">
        <f>I6+'Resumen'!$B$8</f>
        <v>150000.0</v>
      </c>
      <c r="K6" s="1">
        <f>IF(OR(H6&gt;H5,H7&gt;H6),B6,"")</f>
        <v>120.0</v>
      </c>
      <c r="L6" s="1">
        <f>IF(OR(I6&gt;I5,I7&gt;I6),B6,"")</f>
        <v>120.0</v>
      </c>
      <c r="M6" s="1">
        <f>IF(ISNUMBER(K6),K6+-1*'Entradas'!$B$4/2,"")</f>
        <v>115.0</v>
      </c>
      <c r="N6" s="1">
        <f>IF(ISNUMBER(L6),L6+1*'Entradas'!$B$4/2,"")</f>
        <v>125.0</v>
      </c>
      <c r="O6" s="1">
        <v>3</v>
      </c>
    </row>
    <row r="7" spans="1:15" ht="21" customHeight="1">
      <c r="A7" s="1">
        <f>'Entradas'!I12</f>
        <v>200</v>
      </c>
      <c r="B7" s="1">
        <f>SMALL($A$4:$A$11,4)</f>
        <v>130.0</v>
      </c>
      <c r="C7" s="1">
        <f>(B7+B8)/2</f>
        <v>140.0</v>
      </c>
      <c r="D7" s="1">
        <f>SUMPRODUCT(--('Entradas'!$E$11:$E$14="HOT"),--('Entradas'!$H$11:$H$14&lt;=C7),--('Entradas'!$I$11:$I$14&gt;=C7),'Entradas'!$B$11:$B$14)</f>
        <v>5000.0</v>
      </c>
      <c r="E7" s="1">
        <f>SUMPRODUCT(--('Entradas'!$E$11:$E$14="COLD"),--('Entradas'!$H$11:$H$14&lt;=C7),--('Entradas'!$I$11:$I$14&gt;=C7),'Entradas'!$B$11:$B$14)</f>
        <v>9000.0</v>
      </c>
      <c r="F7" s="1">
        <f>D7*(B8-B7)</f>
        <v>100000.0</v>
      </c>
      <c r="G7" s="1">
        <f>E7*(B8-B7)</f>
        <v>180000.0</v>
      </c>
      <c r="H7" s="1">
        <f>H6+F6</f>
        <v>130000.0</v>
      </c>
      <c r="I7" s="1">
        <f>I6+G6</f>
        <v>120000.0</v>
      </c>
      <c r="J7" s="1">
        <f>I7+'Resumen'!$B$8</f>
        <v>180000.0</v>
      </c>
      <c r="K7" s="1">
        <f>IF(OR(H7&gt;H6,H8&gt;H7),B7,"")</f>
        <v>130.0</v>
      </c>
      <c r="L7" s="1">
        <f>IF(OR(I7&gt;I6,I8&gt;I7),B7,"")</f>
        <v>130.0</v>
      </c>
      <c r="M7" s="1">
        <f>IF(ISNUMBER(K7),K7+-1*'Entradas'!$B$4/2,"")</f>
        <v>125.0</v>
      </c>
      <c r="N7" s="1">
        <f>IF(ISNUMBER(L7),L7+1*'Entradas'!$B$4/2,"")</f>
        <v>135.0</v>
      </c>
      <c r="O7" s="1">
        <v>4</v>
      </c>
    </row>
    <row r="8" spans="1:15" ht="21" customHeight="1">
      <c r="A8" s="1">
        <f>'Entradas'!H13</f>
        <v>90</v>
      </c>
      <c r="B8" s="1">
        <f>SMALL($A$4:$A$11,5)</f>
        <v>150.0</v>
      </c>
      <c r="C8" s="1">
        <f>(B8+B9)/2</f>
        <v>170.0</v>
      </c>
      <c r="D8" s="1">
        <f>SUMPRODUCT(--('Entradas'!$E$11:$E$14="HOT"),--('Entradas'!$H$11:$H$14&lt;=C8),--('Entradas'!$I$11:$I$14&gt;=C8),'Entradas'!$B$11:$B$14)</f>
        <v>5000.0</v>
      </c>
      <c r="E8" s="1">
        <f>SUMPRODUCT(--('Entradas'!$E$11:$E$14="COLD"),--('Entradas'!$H$11:$H$14&lt;=C8),--('Entradas'!$I$11:$I$14&gt;=C8),'Entradas'!$B$11:$B$14)</f>
        <v>6000.0</v>
      </c>
      <c r="F8" s="1">
        <f>D8*(B9-B8)</f>
        <v>200000.0</v>
      </c>
      <c r="G8" s="1">
        <f>E8*(B9-B8)</f>
        <v>240000.0</v>
      </c>
      <c r="H8" s="1">
        <f>H7+F7</f>
        <v>230000.0</v>
      </c>
      <c r="I8" s="1">
        <f>I7+G7</f>
        <v>300000.0</v>
      </c>
      <c r="J8" s="1">
        <f>I8+'Resumen'!$B$8</f>
        <v>360000.0</v>
      </c>
      <c r="K8" s="1">
        <f>IF(OR(H8&gt;H7,H9&gt;H8),B8,"")</f>
        <v>150.0</v>
      </c>
      <c r="L8" s="1">
        <f>IF(OR(I8&gt;I7,I9&gt;I8),B8,"")</f>
        <v>150.0</v>
      </c>
      <c r="M8" s="1">
        <f>IF(ISNUMBER(K8),K8+-1*'Entradas'!$B$4/2,"")</f>
        <v>145.0</v>
      </c>
      <c r="N8" s="1">
        <f>IF(ISNUMBER(L8),L8+1*'Entradas'!$B$4/2,"")</f>
        <v>155.0</v>
      </c>
      <c r="O8" s="1">
        <v>5</v>
      </c>
    </row>
    <row r="9" spans="1:15" ht="21" customHeight="1">
      <c r="A9" s="1">
        <f>'Entradas'!I13</f>
        <v>150</v>
      </c>
      <c r="B9" s="1">
        <f>SMALL($A$4:$A$11,6)</f>
        <v>190.0</v>
      </c>
      <c r="C9" s="1">
        <f>(B9+B10)/2</f>
        <v>195.0</v>
      </c>
      <c r="D9" s="1">
        <f>SUMPRODUCT(--('Entradas'!$E$11:$E$14="HOT"),--('Entradas'!$H$11:$H$14&lt;=C9),--('Entradas'!$I$11:$I$14&gt;=C9),'Entradas'!$B$11:$B$14)</f>
        <v>5000.0</v>
      </c>
      <c r="E9" s="1">
        <f>SUMPRODUCT(--('Entradas'!$E$11:$E$14="COLD"),--('Entradas'!$H$11:$H$14&lt;=C9),--('Entradas'!$I$11:$I$14&gt;=C9),'Entradas'!$B$11:$B$14)</f>
        <v>0.0</v>
      </c>
      <c r="F9" s="1">
        <f>D9*(B10-B9)</f>
        <v>50000.0</v>
      </c>
      <c r="G9" s="1">
        <f>E9*(B10-B9)</f>
        <v>0.0</v>
      </c>
      <c r="H9" s="1">
        <f>H8+F8</f>
        <v>430000.0</v>
      </c>
      <c r="I9" s="1">
        <f>I8+G8</f>
        <v>540000.0</v>
      </c>
      <c r="J9" s="1">
        <f>I9+'Resumen'!$B$8</f>
        <v>600000.0</v>
      </c>
      <c r="K9" s="1">
        <f>IF(OR(H9&gt;H8,H10&gt;H9),B9,"")</f>
        <v>190.0</v>
      </c>
      <c r="L9" s="1">
        <f>IF(OR(I9&gt;I8,I10&gt;I9),B9,"")</f>
        <v>190.0</v>
      </c>
      <c r="M9" s="1">
        <f>IF(ISNUMBER(K9),K9+-1*'Entradas'!$B$4/2,"")</f>
        <v>185.0</v>
      </c>
      <c r="N9" s="1">
        <f>IF(ISNUMBER(L9),L9+1*'Entradas'!$B$4/2,"")</f>
        <v>195.0</v>
      </c>
      <c r="O9" s="1">
        <v>6</v>
      </c>
    </row>
    <row r="10" spans="1:15" ht="21" customHeight="1">
      <c r="A10" s="1">
        <f>'Entradas'!H14</f>
        <v>130</v>
      </c>
      <c r="B10" s="1">
        <f>SMALL($A$4:$A$11,7)</f>
        <v>200.0</v>
      </c>
      <c r="C10" s="1">
        <f>(B10+B11)/2</f>
        <v>225.0</v>
      </c>
      <c r="D10" s="1">
        <f>SUMPRODUCT(--('Entradas'!$E$11:$E$14="HOT"),--('Entradas'!$H$11:$H$14&lt;=C10),--('Entradas'!$I$11:$I$14&gt;=C10),'Entradas'!$B$11:$B$14)</f>
        <v>1000.0</v>
      </c>
      <c r="E10" s="1">
        <f>SUMPRODUCT(--('Entradas'!$E$11:$E$14="COLD"),--('Entradas'!$H$11:$H$14&lt;=C10),--('Entradas'!$I$11:$I$14&gt;=C10),'Entradas'!$B$11:$B$14)</f>
        <v>0.0</v>
      </c>
      <c r="F10" s="1">
        <f>D10*(B11-B10)</f>
        <v>50000.0</v>
      </c>
      <c r="G10" s="1">
        <f>E10*(B11-B10)</f>
        <v>0.0</v>
      </c>
      <c r="H10" s="1">
        <f>H9+F9</f>
        <v>480000.0</v>
      </c>
      <c r="I10" s="1">
        <f>I9+G9</f>
        <v>540000.0</v>
      </c>
      <c r="J10" s="1">
        <f>I10+'Resumen'!$B$8</f>
        <v>600000.0</v>
      </c>
      <c r="K10" s="1">
        <f>IF(OR(H10&gt;H9,H11&gt;H10),B10,"")</f>
        <v>200.0</v>
      </c>
      <c r="L10" s="1">
        <f>IF(OR(I10&gt;I9,I11&gt;I10),B10,"")</f>
        <v/>
      </c>
      <c r="M10" s="1">
        <f>IF(ISNUMBER(K10),K10+-1*'Entradas'!$B$4/2,"")</f>
        <v>195.0</v>
      </c>
      <c r="N10" s="1">
        <f>IF(ISNUMBER(L10),L10+1*'Entradas'!$B$4/2,"")</f>
        <v/>
      </c>
      <c r="O10" s="1">
        <v>7</v>
      </c>
    </row>
    <row r="11" spans="1:15" ht="21" customHeight="1">
      <c r="A11" s="1">
        <f>'Entradas'!I14</f>
        <v>190</v>
      </c>
      <c r="B11" s="1">
        <f>SMALL($A$4:$A$11,8)</f>
        <v>250.0</v>
      </c>
      <c r="H11" s="1">
        <f>H10+F10</f>
        <v>530000.0</v>
      </c>
      <c r="I11" s="1">
        <f>I10+G10</f>
        <v>540000.0</v>
      </c>
      <c r="J11" s="1">
        <f>I11+'Resumen'!$B$8</f>
        <v>600000.0</v>
      </c>
      <c r="K11" s="1">
        <f>IF(OR(H11&gt;H10),B11,"")</f>
        <v>250.0</v>
      </c>
      <c r="L11" s="1">
        <f>IF(OR(I11&gt;I10),B11,"")</f>
        <v/>
      </c>
      <c r="M11" s="1">
        <f>IF(ISNUMBER(K11),K11+-1*'Entradas'!$B$4/2,"")</f>
        <v>245.0</v>
      </c>
      <c r="N11" s="1">
        <f>IF(ISNUMBER(L11),L11+1*'Entradas'!$B$4/2,"")</f>
        <v/>
      </c>
    </row>
    <row r="16" spans="1:15" ht="36" customHeight="1">
      <c r="A16" s="7" t="s">
        <v>320</v>
      </c>
      <c r="B16" s="7" t="s">
        <v>321</v>
      </c>
      <c r="C16" s="7" t="s">
        <v>322</v>
      </c>
    </row>
    <row r="17" spans="1:3" ht="21" customHeight="1">
      <c r="A17" s="4" t="str">
        <f>'Entradas'!A11</f>
        <v>H1</v>
      </c>
      <c r="B17" s="1">
        <f>IF('Entradas'!E11="HOT",1,0)*'Entradas'!F11</f>
        <v>130000</v>
      </c>
      <c r="C17" s="1">
        <f>'Entradas'!C11</f>
        <v>250</v>
      </c>
    </row>
    <row r="18" spans="1:3" ht="21" customHeight="1">
      <c r="A18" s="4" t="str">
        <f>'Entradas'!A11</f>
        <v>H1</v>
      </c>
      <c r="B18" s="1">
        <f>IF('Entradas'!E11="HOT",0,1)*'Entradas'!F11</f>
        <v>0</v>
      </c>
      <c r="C18" s="1">
        <f>'Entradas'!D11</f>
        <v>120</v>
      </c>
    </row>
    <row r="19" spans="1:3" ht="21" customHeight="1">
      <c r="A19" s="4" t="str">
        <f>'Entradas'!A12</f>
        <v>H2</v>
      </c>
      <c r="B19" s="1">
        <f>IF('Entradas'!E12="HOT",1,0)*'Entradas'!F12</f>
        <v>400000</v>
      </c>
      <c r="C19" s="1">
        <f>'Entradas'!C12</f>
        <v>200</v>
      </c>
    </row>
    <row r="20" spans="1:3" ht="21" customHeight="1">
      <c r="A20" s="4" t="str">
        <f>'Entradas'!A12</f>
        <v>H2</v>
      </c>
      <c r="B20" s="1">
        <f>IF('Entradas'!E12="HOT",0,1)*'Entradas'!F12</f>
        <v>0</v>
      </c>
      <c r="C20" s="1">
        <f>'Entradas'!D12</f>
        <v>100</v>
      </c>
    </row>
    <row r="21" spans="1:3" ht="21" customHeight="1">
      <c r="A21" s="4" t="str">
        <f>'Entradas'!A13</f>
        <v>C3</v>
      </c>
      <c r="B21" s="1">
        <f>IF('Entradas'!E13="HOT",1,0)*'Entradas'!F13</f>
        <v>0</v>
      </c>
      <c r="C21" s="1">
        <f>'Entradas'!C13</f>
        <v>90</v>
      </c>
    </row>
    <row r="22" spans="1:3" ht="21" customHeight="1">
      <c r="A22" s="4" t="str">
        <f>'Entradas'!A13</f>
        <v>C3</v>
      </c>
      <c r="B22" s="1">
        <f>IF('Entradas'!E13="HOT",0,1)*'Entradas'!F13</f>
        <v>180000</v>
      </c>
      <c r="C22" s="1">
        <f>'Entradas'!D13</f>
        <v>150</v>
      </c>
    </row>
    <row r="23" spans="1:3" ht="21" customHeight="1">
      <c r="A23" s="4" t="str">
        <f>'Entradas'!A14</f>
        <v>C4</v>
      </c>
      <c r="B23" s="1">
        <f>IF('Entradas'!E14="HOT",1,0)*'Entradas'!F14</f>
        <v>0</v>
      </c>
      <c r="C23" s="1">
        <f>'Entradas'!C14</f>
        <v>130</v>
      </c>
    </row>
    <row r="24" spans="1:3" ht="21" customHeight="1">
      <c r="A24" s="4" t="str">
        <f>'Entradas'!A14</f>
        <v>C4</v>
      </c>
      <c r="B24" s="1">
        <f>IF('Entradas'!E14="HOT",0,1)*'Entradas'!F14</f>
        <v>360000</v>
      </c>
      <c r="C24" s="1">
        <f>'Entradas'!D14</f>
        <v>190</v>
      </c>
    </row>
  </sheetData>
  <mergeCells count="2">
    <mergeCell ref="A1:J1"/>
    <mergeCell ref="A2:J2"/>
  </mergeCells>
  <pageMargins left="0.3" right="0.3" top="0.4" bottom="0.4" header="0.3" footer="0.3"/>
  <pageSetup paperSize="9" fitToHeight="0" orientation="landscape"/>
  <headerFooter>
    <oddFooter>&amp;LPinch Lab&amp;RPágina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A8B8CA"/>
    <pageSetUpPr fitToPage="1"/>
  </sheetPr>
  <dimension ref="A1:AE19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1" customHeight="1"/>
  <cols>
    <col min="1" max="31" width="15.7109375" style="1" customWidth="1"/>
  </cols>
  <sheetData>
    <row r="1" spans="1:27" ht="35" customHeight="1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27" ht="33" customHeight="1">
      <c r="A2" s="3" t="s">
        <v>52</v>
      </c>
      <c r="B2" s="3"/>
      <c r="C2" s="3"/>
      <c r="D2" s="3"/>
      <c r="E2" s="3"/>
      <c r="F2" s="3"/>
      <c r="G2" s="3"/>
      <c r="H2" s="3"/>
      <c r="I2" s="3"/>
      <c r="J2" s="3"/>
    </row>
    <row r="3" spans="1:27" ht="36" customHeight="1">
      <c r="A3" s="7" t="s">
        <v>53</v>
      </c>
      <c r="B3" s="7" t="s">
        <v>54</v>
      </c>
      <c r="C3" s="7" t="s">
        <v>55</v>
      </c>
      <c r="D3" s="7" t="s">
        <v>56</v>
      </c>
      <c r="E3" s="7" t="s">
        <v>57</v>
      </c>
      <c r="F3" s="7" t="s">
        <v>58</v>
      </c>
      <c r="G3" s="7" t="s">
        <v>59</v>
      </c>
      <c r="H3" s="7" t="s">
        <v>60</v>
      </c>
      <c r="I3" s="7" t="s">
        <v>61</v>
      </c>
      <c r="J3" s="7" t="s">
        <v>62</v>
      </c>
      <c r="K3" s="7" t="s">
        <v>63</v>
      </c>
      <c r="L3" s="7" t="s">
        <v>64</v>
      </c>
      <c r="M3" s="7" t="s">
        <v>65</v>
      </c>
      <c r="N3" s="7" t="s">
        <v>66</v>
      </c>
      <c r="O3" s="7" t="s">
        <v>67</v>
      </c>
      <c r="P3" s="7" t="s">
        <v>68</v>
      </c>
      <c r="Q3" s="7" t="s">
        <v>69</v>
      </c>
      <c r="R3" s="7" t="s">
        <v>70</v>
      </c>
      <c r="S3" s="7" t="s">
        <v>71</v>
      </c>
      <c r="T3" s="7" t="s">
        <v>72</v>
      </c>
      <c r="U3" s="7" t="s">
        <v>73</v>
      </c>
      <c r="V3" s="7" t="s">
        <v>74</v>
      </c>
      <c r="W3" s="7" t="s">
        <v>75</v>
      </c>
      <c r="X3" s="7" t="s">
        <v>76</v>
      </c>
      <c r="Y3" s="7" t="s">
        <v>77</v>
      </c>
      <c r="Z3" s="7" t="s">
        <v>78</v>
      </c>
      <c r="AA3" s="7" t="s">
        <v>79</v>
      </c>
    </row>
    <row r="4" spans="1:27" ht="21" customHeight="1">
      <c r="A4" s="1">
        <f>'Compuestas'!H4</f>
        <v>0.0</v>
      </c>
      <c r="B4" s="1">
        <f>SMALL($A$4:$A$19,1)</f>
        <v>0.0</v>
      </c>
      <c r="C4" s="1">
        <f>B5-B4</f>
        <v>0.0</v>
      </c>
      <c r="D4" s="1">
        <f>(B4+B5)/2</f>
        <v>0.0</v>
      </c>
      <c r="E4" s="1">
        <f>IF(C4&lt;='Resumen'!$B$14,0,SUMPRODUCT(--('Compuestas'!$H$4:$H$10&lt;=D4),--('Compuestas'!$H$5:$H$11&gt;D4),'Compuestas'!$O$4:$O$10))</f>
        <v>0</v>
      </c>
      <c r="F4" s="1">
        <f>IF(C4&lt;='Resumen'!$B$14,0,SUMPRODUCT(--('Compuestas'!$J$4:$J$10&lt;=D4),--('Compuestas'!$J$5:$J$11&gt;D4),'Compuestas'!$O$4:$O$10))</f>
        <v>0</v>
      </c>
      <c r="G4" s="1">
        <f>IF(E4&gt;0,INDEX('Compuestas'!$D$4:$D$10,E4),0)</f>
        <v>0</v>
      </c>
      <c r="H4" s="1">
        <f>IF(F4&gt;0,INDEX('Compuestas'!$E$4:$E$10,F4),0)</f>
        <v>0</v>
      </c>
      <c r="I4" s="1">
        <f>IF(E4&gt;0,INDEX('Compuestas'!$B$4:$B$10,E4)+(B4-INDEX('Compuestas'!$H$4:$H$10,E4))/G4,0)</f>
        <v>0</v>
      </c>
      <c r="J4" s="1">
        <f>IF(E4&gt;0,INDEX('Compuestas'!$B$4:$B$10,E4)+(B5-INDEX('Compuestas'!$H$4:$H$10,E4))/G4,0)</f>
        <v>0</v>
      </c>
      <c r="K4" s="1">
        <f>IF(F4&gt;0,INDEX('Compuestas'!$B$4:$B$10,F4)+(B4-INDEX('Compuestas'!$J$4:$J$10,F4))/H4,0)</f>
        <v>0</v>
      </c>
      <c r="L4" s="1">
        <f>IF(F4&gt;0,INDEX('Compuestas'!$B$4:$B$10,F4)+(B5-INDEX('Compuestas'!$J$4:$J$10,F4))/H4,0)</f>
        <v>0</v>
      </c>
      <c r="M4" s="1">
        <f>IF(AND(E4&gt;0,F4&gt;0),C4,0)</f>
        <v>0.0</v>
      </c>
      <c r="N4" s="1">
        <f>IF(AND(E4&gt;0,F4=0),C4,0)</f>
        <v>0.0</v>
      </c>
      <c r="O4" s="1">
        <f>IF(AND(E4=0,F4&gt;0),C4,0)</f>
        <v>0.0</v>
      </c>
      <c r="P4" s="1">
        <f>IF(M4&gt;0,J4-L4,0)</f>
        <v>0</v>
      </c>
      <c r="Q4" s="1">
        <f>IF(M4&gt;0,I4-K4,0)</f>
        <v>0</v>
      </c>
      <c r="R4" s="1">
        <f>IF(M4=0,0,IF(MIN(P4,Q4)&lt;=0,0,IF(ABS(P4-Q4)&lt;0.00000001,(P4+Q4)/2,(P4-Q4)/LN(P4/Q4))))</f>
        <v>0</v>
      </c>
      <c r="S4" s="1">
        <f>IF(M4=0,0,IF('Entradas'!$B$5=0,"sin U",IF(R4=0,"infinita",M4/('Entradas'!$B$5*R4))))</f>
        <v>0</v>
      </c>
      <c r="T4" s="6">
        <f>IF(AND(E4&gt;0,'Entradas'!E11="HOT",'Entradas'!H11&lt;=(I4+J4)/2,'Entradas'!I11&gt;=(I4+J4)/2),'Entradas'!B11/G4,0)</f>
        <v>0.0</v>
      </c>
      <c r="U4" s="6">
        <f>IF(AND(E4&gt;0,'Entradas'!E12="HOT",'Entradas'!H12&lt;=(I4+J4)/2,'Entradas'!I12&gt;=(I4+J4)/2),'Entradas'!B12/G4,0)</f>
        <v>0.0</v>
      </c>
      <c r="V4" s="6">
        <f>IF(AND(E4&gt;0,'Entradas'!E13="HOT",'Entradas'!H13&lt;=(I4+J4)/2,'Entradas'!I13&gt;=(I4+J4)/2),'Entradas'!B13/G4,0)</f>
        <v>0.0</v>
      </c>
      <c r="W4" s="6">
        <f>IF(AND(E4&gt;0,'Entradas'!E14="HOT",'Entradas'!H14&lt;=(I4+J4)/2,'Entradas'!I14&gt;=(I4+J4)/2),'Entradas'!B14/G4,0)</f>
        <v>0.0</v>
      </c>
      <c r="X4" s="6">
        <f>IF(AND(F4&gt;0,'Entradas'!E11="COLD",'Entradas'!H11&lt;=(K4+L4)/2,'Entradas'!I11&gt;=(K4+L4)/2),'Entradas'!B11/H4,0)</f>
        <v>0.0</v>
      </c>
      <c r="Y4" s="6">
        <f>IF(AND(F4&gt;0,'Entradas'!E12="COLD",'Entradas'!H12&lt;=(K4+L4)/2,'Entradas'!I12&gt;=(K4+L4)/2),'Entradas'!B12/H4,0)</f>
        <v>0.0</v>
      </c>
      <c r="Z4" s="6">
        <f>IF(AND(F4&gt;0,'Entradas'!E13="COLD",'Entradas'!H13&lt;=(K4+L4)/2,'Entradas'!I13&gt;=(K4+L4)/2),'Entradas'!B13/H4,0)</f>
        <v>0.0</v>
      </c>
      <c r="AA4" s="6">
        <f>IF(AND(F4&gt;0,'Entradas'!E14="COLD",'Entradas'!H14&lt;=(K4+L4)/2,'Entradas'!I14&gt;=(K4+L4)/2),'Entradas'!B14/H4,0)</f>
        <v>0.0</v>
      </c>
    </row>
    <row r="5" spans="1:27" ht="21" customHeight="1">
      <c r="A5" s="1">
        <f>'Compuestas'!H5</f>
        <v>0.0</v>
      </c>
      <c r="B5" s="1">
        <f>SMALL($A$4:$A$19,2)</f>
        <v>0.0</v>
      </c>
      <c r="C5" s="1">
        <f>B6-B5</f>
        <v>60000.0</v>
      </c>
      <c r="D5" s="1">
        <f>(B5+B6)/2</f>
        <v>30000.0</v>
      </c>
      <c r="E5" s="1">
        <f>IF(C5&lt;='Resumen'!$B$14,0,SUMPRODUCT(--('Compuestas'!$H$4:$H$10&lt;=D5),--('Compuestas'!$H$5:$H$11&gt;D5),'Compuestas'!$O$4:$O$10))</f>
        <v>2</v>
      </c>
      <c r="F5" s="1">
        <f>IF(C5&lt;='Resumen'!$B$14,0,SUMPRODUCT(--('Compuestas'!$J$4:$J$10&lt;=D5),--('Compuestas'!$J$5:$J$11&gt;D5),'Compuestas'!$O$4:$O$10))</f>
        <v>0</v>
      </c>
      <c r="G5" s="1">
        <f>IF(E5&gt;0,INDEX('Compuestas'!$D$4:$D$10,E5),0)</f>
        <v>4000.0</v>
      </c>
      <c r="H5" s="1">
        <f>IF(F5&gt;0,INDEX('Compuestas'!$E$4:$E$10,F5),0)</f>
        <v>0</v>
      </c>
      <c r="I5" s="1">
        <f>IF(E5&gt;0,INDEX('Compuestas'!$B$4:$B$10,E5)+(B5-INDEX('Compuestas'!$H$4:$H$10,E5))/G5,0)</f>
        <v>100.0</v>
      </c>
      <c r="J5" s="1">
        <f>IF(E5&gt;0,INDEX('Compuestas'!$B$4:$B$10,E5)+(B6-INDEX('Compuestas'!$H$4:$H$10,E5))/G5,0)</f>
        <v>115.0</v>
      </c>
      <c r="K5" s="1">
        <f>IF(F5&gt;0,INDEX('Compuestas'!$B$4:$B$10,F5)+(B5-INDEX('Compuestas'!$J$4:$J$10,F5))/H5,0)</f>
        <v>0</v>
      </c>
      <c r="L5" s="1">
        <f>IF(F5&gt;0,INDEX('Compuestas'!$B$4:$B$10,F5)+(B6-INDEX('Compuestas'!$J$4:$J$10,F5))/H5,0)</f>
        <v>0</v>
      </c>
      <c r="M5" s="1">
        <f>IF(AND(E5&gt;0,F5&gt;0),C5,0)</f>
        <v>0.0</v>
      </c>
      <c r="N5" s="1">
        <f>IF(AND(E5&gt;0,F5=0),C5,0)</f>
        <v>60000.0</v>
      </c>
      <c r="O5" s="1">
        <f>IF(AND(E5=0,F5&gt;0),C5,0)</f>
        <v>0.0</v>
      </c>
      <c r="P5" s="1">
        <f>IF(M5&gt;0,J5-L5,0)</f>
        <v>0</v>
      </c>
      <c r="Q5" s="1">
        <f>IF(M5&gt;0,I5-K5,0)</f>
        <v>0</v>
      </c>
      <c r="R5" s="1">
        <f>IF(M5=0,0,IF(MIN(P5,Q5)&lt;=0,0,IF(ABS(P5-Q5)&lt;0.00000001,(P5+Q5)/2,(P5-Q5)/LN(P5/Q5))))</f>
        <v>0</v>
      </c>
      <c r="S5" s="1">
        <f>IF(M5=0,0,IF('Entradas'!$B$5=0,"sin U",IF(R5=0,"infinita",M5/('Entradas'!$B$5*R5))))</f>
        <v>0</v>
      </c>
      <c r="T5" s="6">
        <f>IF(AND(E5&gt;0,'Entradas'!E11="HOT",'Entradas'!H11&lt;=(I5+J5)/2,'Entradas'!I11&gt;=(I5+J5)/2),'Entradas'!B11/G5,0)</f>
        <v>0.0</v>
      </c>
      <c r="U5" s="6">
        <f>IF(AND(E5&gt;0,'Entradas'!E12="HOT",'Entradas'!H12&lt;=(I5+J5)/2,'Entradas'!I12&gt;=(I5+J5)/2),'Entradas'!B12/G5,0)</f>
        <v>1.0</v>
      </c>
      <c r="V5" s="6">
        <f>IF(AND(E5&gt;0,'Entradas'!E13="HOT",'Entradas'!H13&lt;=(I5+J5)/2,'Entradas'!I13&gt;=(I5+J5)/2),'Entradas'!B13/G5,0)</f>
        <v>0.0</v>
      </c>
      <c r="W5" s="6">
        <f>IF(AND(E5&gt;0,'Entradas'!E14="HOT",'Entradas'!H14&lt;=(I5+J5)/2,'Entradas'!I14&gt;=(I5+J5)/2),'Entradas'!B14/G5,0)</f>
        <v>0.0</v>
      </c>
      <c r="X5" s="6">
        <f>IF(AND(F5&gt;0,'Entradas'!E11="COLD",'Entradas'!H11&lt;=(K5+L5)/2,'Entradas'!I11&gt;=(K5+L5)/2),'Entradas'!B11/H5,0)</f>
        <v>0.0</v>
      </c>
      <c r="Y5" s="6">
        <f>IF(AND(F5&gt;0,'Entradas'!E12="COLD",'Entradas'!H12&lt;=(K5+L5)/2,'Entradas'!I12&gt;=(K5+L5)/2),'Entradas'!B12/H5,0)</f>
        <v>0.0</v>
      </c>
      <c r="Z5" s="6">
        <f>IF(AND(F5&gt;0,'Entradas'!E13="COLD",'Entradas'!H13&lt;=(K5+L5)/2,'Entradas'!I13&gt;=(K5+L5)/2),'Entradas'!B13/H5,0)</f>
        <v>0.0</v>
      </c>
      <c r="AA5" s="6">
        <f>IF(AND(F5&gt;0,'Entradas'!E14="COLD",'Entradas'!H14&lt;=(K5+L5)/2,'Entradas'!I14&gt;=(K5+L5)/2),'Entradas'!B14/H5,0)</f>
        <v>0.0</v>
      </c>
    </row>
    <row r="6" spans="1:27" ht="21" customHeight="1">
      <c r="A6" s="1">
        <f>'Compuestas'!H6</f>
        <v>80000.0</v>
      </c>
      <c r="B6" s="1">
        <f>SMALL($A$4:$A$19,3)</f>
        <v>60000.0</v>
      </c>
      <c r="C6" s="1">
        <f>B7-B6</f>
        <v>20000.0</v>
      </c>
      <c r="D6" s="1">
        <f>(B6+B7)/2</f>
        <v>70000.0</v>
      </c>
      <c r="E6" s="1">
        <f>IF(C6&lt;='Resumen'!$B$14,0,SUMPRODUCT(--('Compuestas'!$H$4:$H$10&lt;=D6),--('Compuestas'!$H$5:$H$11&gt;D6),'Compuestas'!$O$4:$O$10))</f>
        <v>2</v>
      </c>
      <c r="F6" s="1">
        <f>IF(C6&lt;='Resumen'!$B$14,0,SUMPRODUCT(--('Compuestas'!$J$4:$J$10&lt;=D6),--('Compuestas'!$J$5:$J$11&gt;D6),'Compuestas'!$O$4:$O$10))</f>
        <v>1</v>
      </c>
      <c r="G6" s="1">
        <f>IF(E6&gt;0,INDEX('Compuestas'!$D$4:$D$10,E6),0)</f>
        <v>4000.0</v>
      </c>
      <c r="H6" s="1">
        <f>IF(F6&gt;0,INDEX('Compuestas'!$E$4:$E$10,F6),0)</f>
        <v>3000.0</v>
      </c>
      <c r="I6" s="1">
        <f>IF(E6&gt;0,INDEX('Compuestas'!$B$4:$B$10,E6)+(B6-INDEX('Compuestas'!$H$4:$H$10,E6))/G6,0)</f>
        <v>115.0</v>
      </c>
      <c r="J6" s="1">
        <f>IF(E6&gt;0,INDEX('Compuestas'!$B$4:$B$10,E6)+(B7-INDEX('Compuestas'!$H$4:$H$10,E6))/G6,0)</f>
        <v>120.0</v>
      </c>
      <c r="K6" s="1">
        <f>IF(F6&gt;0,INDEX('Compuestas'!$B$4:$B$10,F6)+(B6-INDEX('Compuestas'!$J$4:$J$10,F6))/H6,0)</f>
        <v>90.0</v>
      </c>
      <c r="L6" s="1">
        <f>IF(F6&gt;0,INDEX('Compuestas'!$B$4:$B$10,F6)+(B7-INDEX('Compuestas'!$J$4:$J$10,F6))/H6,0)</f>
        <v>96.66666666666667</v>
      </c>
      <c r="M6" s="1">
        <f>IF(AND(E6&gt;0,F6&gt;0),C6,0)</f>
        <v>20000.0</v>
      </c>
      <c r="N6" s="1">
        <f>IF(AND(E6&gt;0,F6=0),C6,0)</f>
        <v>0.0</v>
      </c>
      <c r="O6" s="1">
        <f>IF(AND(E6=0,F6&gt;0),C6,0)</f>
        <v>0.0</v>
      </c>
      <c r="P6" s="1">
        <f>IF(M6&gt;0,J6-L6,0)</f>
        <v>23.33333333333333</v>
      </c>
      <c r="Q6" s="1">
        <f>IF(M6&gt;0,I6-K6,0)</f>
        <v>25.0</v>
      </c>
      <c r="R6" s="1">
        <f>IF(M6=0,0,IF(MIN(P6,Q6)&lt;=0,0,IF(ABS(P6-Q6)&lt;0.00000001,(P6+Q6)/2,(P6-Q6)/LN(P6/Q6))))</f>
        <v>24.157085083520272</v>
      </c>
      <c r="S6" s="1" t="str">
        <f>IF(M6=0,0,IF('Entradas'!$B$5=0,"sin U",IF(R6=0,"infinita",M6/('Entradas'!$B$5*R6))))</f>
        <v>sin U</v>
      </c>
      <c r="T6" s="6">
        <f>IF(AND(E6&gt;0,'Entradas'!E11="HOT",'Entradas'!H11&lt;=(I6+J6)/2,'Entradas'!I11&gt;=(I6+J6)/2),'Entradas'!B11/G6,0)</f>
        <v>0.0</v>
      </c>
      <c r="U6" s="6">
        <f>IF(AND(E6&gt;0,'Entradas'!E12="HOT",'Entradas'!H12&lt;=(I6+J6)/2,'Entradas'!I12&gt;=(I6+J6)/2),'Entradas'!B12/G6,0)</f>
        <v>1.0</v>
      </c>
      <c r="V6" s="6">
        <f>IF(AND(E6&gt;0,'Entradas'!E13="HOT",'Entradas'!H13&lt;=(I6+J6)/2,'Entradas'!I13&gt;=(I6+J6)/2),'Entradas'!B13/G6,0)</f>
        <v>0.0</v>
      </c>
      <c r="W6" s="6">
        <f>IF(AND(E6&gt;0,'Entradas'!E14="HOT",'Entradas'!H14&lt;=(I6+J6)/2,'Entradas'!I14&gt;=(I6+J6)/2),'Entradas'!B14/G6,0)</f>
        <v>0.0</v>
      </c>
      <c r="X6" s="6">
        <f>IF(AND(F6&gt;0,'Entradas'!E11="COLD",'Entradas'!H11&lt;=(K6+L6)/2,'Entradas'!I11&gt;=(K6+L6)/2),'Entradas'!B11/H6,0)</f>
        <v>0.0</v>
      </c>
      <c r="Y6" s="6">
        <f>IF(AND(F6&gt;0,'Entradas'!E12="COLD",'Entradas'!H12&lt;=(K6+L6)/2,'Entradas'!I12&gt;=(K6+L6)/2),'Entradas'!B12/H6,0)</f>
        <v>0.0</v>
      </c>
      <c r="Z6" s="6">
        <f>IF(AND(F6&gt;0,'Entradas'!E13="COLD",'Entradas'!H13&lt;=(K6+L6)/2,'Entradas'!I13&gt;=(K6+L6)/2),'Entradas'!B13/H6,0)</f>
        <v>1.0</v>
      </c>
      <c r="AA6" s="6">
        <f>IF(AND(F6&gt;0,'Entradas'!E14="COLD",'Entradas'!H14&lt;=(K6+L6)/2,'Entradas'!I14&gt;=(K6+L6)/2),'Entradas'!B14/H6,0)</f>
        <v>0.0</v>
      </c>
    </row>
    <row r="7" spans="1:27" ht="21" customHeight="1">
      <c r="A7" s="1">
        <f>'Compuestas'!H7</f>
        <v>130000.0</v>
      </c>
      <c r="B7" s="1">
        <f>SMALL($A$4:$A$19,4)</f>
        <v>80000.0</v>
      </c>
      <c r="C7" s="1">
        <f>B8-B7</f>
        <v>10000.0</v>
      </c>
      <c r="D7" s="1">
        <f>(B7+B8)/2</f>
        <v>85000.0</v>
      </c>
      <c r="E7" s="1">
        <f>IF(C7&lt;='Resumen'!$B$14,0,SUMPRODUCT(--('Compuestas'!$H$4:$H$10&lt;=D7),--('Compuestas'!$H$5:$H$11&gt;D7),'Compuestas'!$O$4:$O$10))</f>
        <v>3</v>
      </c>
      <c r="F7" s="1">
        <f>IF(C7&lt;='Resumen'!$B$14,0,SUMPRODUCT(--('Compuestas'!$J$4:$J$10&lt;=D7),--('Compuestas'!$J$5:$J$11&gt;D7),'Compuestas'!$O$4:$O$10))</f>
        <v>1</v>
      </c>
      <c r="G7" s="1">
        <f>IF(E7&gt;0,INDEX('Compuestas'!$D$4:$D$10,E7),0)</f>
        <v>5000.0</v>
      </c>
      <c r="H7" s="1">
        <f>IF(F7&gt;0,INDEX('Compuestas'!$E$4:$E$10,F7),0)</f>
        <v>3000.0</v>
      </c>
      <c r="I7" s="1">
        <f>IF(E7&gt;0,INDEX('Compuestas'!$B$4:$B$10,E7)+(B7-INDEX('Compuestas'!$H$4:$H$10,E7))/G7,0)</f>
        <v>120.0</v>
      </c>
      <c r="J7" s="1">
        <f>IF(E7&gt;0,INDEX('Compuestas'!$B$4:$B$10,E7)+(B8-INDEX('Compuestas'!$H$4:$H$10,E7))/G7,0)</f>
        <v>122.0</v>
      </c>
      <c r="K7" s="1">
        <f>IF(F7&gt;0,INDEX('Compuestas'!$B$4:$B$10,F7)+(B7-INDEX('Compuestas'!$J$4:$J$10,F7))/H7,0)</f>
        <v>96.66666666666667</v>
      </c>
      <c r="L7" s="1">
        <f>IF(F7&gt;0,INDEX('Compuestas'!$B$4:$B$10,F7)+(B8-INDEX('Compuestas'!$J$4:$J$10,F7))/H7,0)</f>
        <v>100.0</v>
      </c>
      <c r="M7" s="1">
        <f>IF(AND(E7&gt;0,F7&gt;0),C7,0)</f>
        <v>10000.0</v>
      </c>
      <c r="N7" s="1">
        <f>IF(AND(E7&gt;0,F7=0),C7,0)</f>
        <v>0.0</v>
      </c>
      <c r="O7" s="1">
        <f>IF(AND(E7=0,F7&gt;0),C7,0)</f>
        <v>0.0</v>
      </c>
      <c r="P7" s="1">
        <f>IF(M7&gt;0,J7-L7,0)</f>
        <v>22.0</v>
      </c>
      <c r="Q7" s="1">
        <f>IF(M7&gt;0,I7-K7,0)</f>
        <v>23.33333333333333</v>
      </c>
      <c r="R7" s="1">
        <f>IF(M7=0,0,IF(MIN(P7,Q7)&lt;=0,0,IF(ABS(P7-Q7)&lt;0.00000001,(P7+Q7)/2,(P7-Q7)/LN(P7/Q7))))</f>
        <v>22.660129210554953</v>
      </c>
      <c r="S7" s="1" t="str">
        <f>IF(M7=0,0,IF('Entradas'!$B$5=0,"sin U",IF(R7=0,"infinita",M7/('Entradas'!$B$5*R7))))</f>
        <v>sin U</v>
      </c>
      <c r="T7" s="6">
        <f>IF(AND(E7&gt;0,'Entradas'!E11="HOT",'Entradas'!H11&lt;=(I7+J7)/2,'Entradas'!I11&gt;=(I7+J7)/2),'Entradas'!B11/G7,0)</f>
        <v>0.2</v>
      </c>
      <c r="U7" s="6">
        <f>IF(AND(E7&gt;0,'Entradas'!E12="HOT",'Entradas'!H12&lt;=(I7+J7)/2,'Entradas'!I12&gt;=(I7+J7)/2),'Entradas'!B12/G7,0)</f>
        <v>0.8</v>
      </c>
      <c r="V7" s="6">
        <f>IF(AND(E7&gt;0,'Entradas'!E13="HOT",'Entradas'!H13&lt;=(I7+J7)/2,'Entradas'!I13&gt;=(I7+J7)/2),'Entradas'!B13/G7,0)</f>
        <v>0.0</v>
      </c>
      <c r="W7" s="6">
        <f>IF(AND(E7&gt;0,'Entradas'!E14="HOT",'Entradas'!H14&lt;=(I7+J7)/2,'Entradas'!I14&gt;=(I7+J7)/2),'Entradas'!B14/G7,0)</f>
        <v>0.0</v>
      </c>
      <c r="X7" s="6">
        <f>IF(AND(F7&gt;0,'Entradas'!E11="COLD",'Entradas'!H11&lt;=(K7+L7)/2,'Entradas'!I11&gt;=(K7+L7)/2),'Entradas'!B11/H7,0)</f>
        <v>0.0</v>
      </c>
      <c r="Y7" s="6">
        <f>IF(AND(F7&gt;0,'Entradas'!E12="COLD",'Entradas'!H12&lt;=(K7+L7)/2,'Entradas'!I12&gt;=(K7+L7)/2),'Entradas'!B12/H7,0)</f>
        <v>0.0</v>
      </c>
      <c r="Z7" s="6">
        <f>IF(AND(F7&gt;0,'Entradas'!E13="COLD",'Entradas'!H13&lt;=(K7+L7)/2,'Entradas'!I13&gt;=(K7+L7)/2),'Entradas'!B13/H7,0)</f>
        <v>1.0</v>
      </c>
      <c r="AA7" s="6">
        <f>IF(AND(F7&gt;0,'Entradas'!E14="COLD",'Entradas'!H14&lt;=(K7+L7)/2,'Entradas'!I14&gt;=(K7+L7)/2),'Entradas'!B14/H7,0)</f>
        <v>0.0</v>
      </c>
    </row>
    <row r="8" spans="1:27" ht="21" customHeight="1">
      <c r="A8" s="1">
        <f>'Compuestas'!H8</f>
        <v>230000.0</v>
      </c>
      <c r="B8" s="1">
        <f>SMALL($A$4:$A$19,5)</f>
        <v>90000.0</v>
      </c>
      <c r="C8" s="1">
        <f>B9-B8</f>
        <v>40000.0</v>
      </c>
      <c r="D8" s="1">
        <f>(B8+B9)/2</f>
        <v>110000.0</v>
      </c>
      <c r="E8" s="1">
        <f>IF(C8&lt;='Resumen'!$B$14,0,SUMPRODUCT(--('Compuestas'!$H$4:$H$10&lt;=D8),--('Compuestas'!$H$5:$H$11&gt;D8),'Compuestas'!$O$4:$O$10))</f>
        <v>3</v>
      </c>
      <c r="F8" s="1">
        <f>IF(C8&lt;='Resumen'!$B$14,0,SUMPRODUCT(--('Compuestas'!$J$4:$J$10&lt;=D8),--('Compuestas'!$J$5:$J$11&gt;D8),'Compuestas'!$O$4:$O$10))</f>
        <v>2</v>
      </c>
      <c r="G8" s="1">
        <f>IF(E8&gt;0,INDEX('Compuestas'!$D$4:$D$10,E8),0)</f>
        <v>5000.0</v>
      </c>
      <c r="H8" s="1">
        <f>IF(F8&gt;0,INDEX('Compuestas'!$E$4:$E$10,F8),0)</f>
        <v>3000.0</v>
      </c>
      <c r="I8" s="1">
        <f>IF(E8&gt;0,INDEX('Compuestas'!$B$4:$B$10,E8)+(B8-INDEX('Compuestas'!$H$4:$H$10,E8))/G8,0)</f>
        <v>122.0</v>
      </c>
      <c r="J8" s="1">
        <f>IF(E8&gt;0,INDEX('Compuestas'!$B$4:$B$10,E8)+(B9-INDEX('Compuestas'!$H$4:$H$10,E8))/G8,0)</f>
        <v>130.0</v>
      </c>
      <c r="K8" s="1">
        <f>IF(F8&gt;0,INDEX('Compuestas'!$B$4:$B$10,F8)+(B8-INDEX('Compuestas'!$J$4:$J$10,F8))/H8,0)</f>
        <v>100.0</v>
      </c>
      <c r="L8" s="1">
        <f>IF(F8&gt;0,INDEX('Compuestas'!$B$4:$B$10,F8)+(B9-INDEX('Compuestas'!$J$4:$J$10,F8))/H8,0)</f>
        <v>113.33333333333333</v>
      </c>
      <c r="M8" s="1">
        <f>IF(AND(E8&gt;0,F8&gt;0),C8,0)</f>
        <v>40000.0</v>
      </c>
      <c r="N8" s="1">
        <f>IF(AND(E8&gt;0,F8=0),C8,0)</f>
        <v>0.0</v>
      </c>
      <c r="O8" s="1">
        <f>IF(AND(E8=0,F8&gt;0),C8,0)</f>
        <v>0.0</v>
      </c>
      <c r="P8" s="1">
        <f>IF(M8&gt;0,J8-L8,0)</f>
        <v>16.66666666666667</v>
      </c>
      <c r="Q8" s="1">
        <f>IF(M8&gt;0,I8-K8,0)</f>
        <v>22.0</v>
      </c>
      <c r="R8" s="1">
        <f>IF(M8=0,0,IF(MIN(P8,Q8)&lt;=0,0,IF(ABS(P8-Q8)&lt;0.00000001,(P8+Q8)/2,(P8-Q8)/LN(P8/Q8))))</f>
        <v>19.21009967621398</v>
      </c>
      <c r="S8" s="1" t="str">
        <f>IF(M8=0,0,IF('Entradas'!$B$5=0,"sin U",IF(R8=0,"infinita",M8/('Entradas'!$B$5*R8))))</f>
        <v>sin U</v>
      </c>
      <c r="T8" s="6">
        <f>IF(AND(E8&gt;0,'Entradas'!E11="HOT",'Entradas'!H11&lt;=(I8+J8)/2,'Entradas'!I11&gt;=(I8+J8)/2),'Entradas'!B11/G8,0)</f>
        <v>0.2</v>
      </c>
      <c r="U8" s="6">
        <f>IF(AND(E8&gt;0,'Entradas'!E12="HOT",'Entradas'!H12&lt;=(I8+J8)/2,'Entradas'!I12&gt;=(I8+J8)/2),'Entradas'!B12/G8,0)</f>
        <v>0.8</v>
      </c>
      <c r="V8" s="6">
        <f>IF(AND(E8&gt;0,'Entradas'!E13="HOT",'Entradas'!H13&lt;=(I8+J8)/2,'Entradas'!I13&gt;=(I8+J8)/2),'Entradas'!B13/G8,0)</f>
        <v>0.0</v>
      </c>
      <c r="W8" s="6">
        <f>IF(AND(E8&gt;0,'Entradas'!E14="HOT",'Entradas'!H14&lt;=(I8+J8)/2,'Entradas'!I14&gt;=(I8+J8)/2),'Entradas'!B14/G8,0)</f>
        <v>0.0</v>
      </c>
      <c r="X8" s="6">
        <f>IF(AND(F8&gt;0,'Entradas'!E11="COLD",'Entradas'!H11&lt;=(K8+L8)/2,'Entradas'!I11&gt;=(K8+L8)/2),'Entradas'!B11/H8,0)</f>
        <v>0.0</v>
      </c>
      <c r="Y8" s="6">
        <f>IF(AND(F8&gt;0,'Entradas'!E12="COLD",'Entradas'!H12&lt;=(K8+L8)/2,'Entradas'!I12&gt;=(K8+L8)/2),'Entradas'!B12/H8,0)</f>
        <v>0.0</v>
      </c>
      <c r="Z8" s="6">
        <f>IF(AND(F8&gt;0,'Entradas'!E13="COLD",'Entradas'!H13&lt;=(K8+L8)/2,'Entradas'!I13&gt;=(K8+L8)/2),'Entradas'!B13/H8,0)</f>
        <v>1.0</v>
      </c>
      <c r="AA8" s="6">
        <f>IF(AND(F8&gt;0,'Entradas'!E14="COLD",'Entradas'!H14&lt;=(K8+L8)/2,'Entradas'!I14&gt;=(K8+L8)/2),'Entradas'!B14/H8,0)</f>
        <v>0.0</v>
      </c>
    </row>
    <row r="9" spans="1:27" ht="21" customHeight="1">
      <c r="A9" s="1">
        <f>'Compuestas'!H9</f>
        <v>430000.0</v>
      </c>
      <c r="B9" s="1">
        <f>SMALL($A$4:$A$19,6)</f>
        <v>130000.0</v>
      </c>
      <c r="C9" s="1">
        <f>B10-B9</f>
        <v>20000.0</v>
      </c>
      <c r="D9" s="1">
        <f>(B9+B10)/2</f>
        <v>140000.0</v>
      </c>
      <c r="E9" s="1">
        <f>IF(C9&lt;='Resumen'!$B$14,0,SUMPRODUCT(--('Compuestas'!$H$4:$H$10&lt;=D9),--('Compuestas'!$H$5:$H$11&gt;D9),'Compuestas'!$O$4:$O$10))</f>
        <v>4</v>
      </c>
      <c r="F9" s="1">
        <f>IF(C9&lt;='Resumen'!$B$14,0,SUMPRODUCT(--('Compuestas'!$J$4:$J$10&lt;=D9),--('Compuestas'!$J$5:$J$11&gt;D9),'Compuestas'!$O$4:$O$10))</f>
        <v>2</v>
      </c>
      <c r="G9" s="1">
        <f>IF(E9&gt;0,INDEX('Compuestas'!$D$4:$D$10,E9),0)</f>
        <v>5000.0</v>
      </c>
      <c r="H9" s="1">
        <f>IF(F9&gt;0,INDEX('Compuestas'!$E$4:$E$10,F9),0)</f>
        <v>3000.0</v>
      </c>
      <c r="I9" s="1">
        <f>IF(E9&gt;0,INDEX('Compuestas'!$B$4:$B$10,E9)+(B9-INDEX('Compuestas'!$H$4:$H$10,E9))/G9,0)</f>
        <v>130.0</v>
      </c>
      <c r="J9" s="1">
        <f>IF(E9&gt;0,INDEX('Compuestas'!$B$4:$B$10,E9)+(B10-INDEX('Compuestas'!$H$4:$H$10,E9))/G9,0)</f>
        <v>134.0</v>
      </c>
      <c r="K9" s="1">
        <f>IF(F9&gt;0,INDEX('Compuestas'!$B$4:$B$10,F9)+(B9-INDEX('Compuestas'!$J$4:$J$10,F9))/H9,0)</f>
        <v>113.33333333333333</v>
      </c>
      <c r="L9" s="1">
        <f>IF(F9&gt;0,INDEX('Compuestas'!$B$4:$B$10,F9)+(B10-INDEX('Compuestas'!$J$4:$J$10,F9))/H9,0)</f>
        <v>120.0</v>
      </c>
      <c r="M9" s="1">
        <f>IF(AND(E9&gt;0,F9&gt;0),C9,0)</f>
        <v>20000.0</v>
      </c>
      <c r="N9" s="1">
        <f>IF(AND(E9&gt;0,F9=0),C9,0)</f>
        <v>0.0</v>
      </c>
      <c r="O9" s="1">
        <f>IF(AND(E9=0,F9&gt;0),C9,0)</f>
        <v>0.0</v>
      </c>
      <c r="P9" s="1">
        <f>IF(M9&gt;0,J9-L9,0)</f>
        <v>14.0</v>
      </c>
      <c r="Q9" s="1">
        <f>IF(M9&gt;0,I9-K9,0)</f>
        <v>16.66666666666667</v>
      </c>
      <c r="R9" s="1">
        <f>IF(M9=0,0,IF(MIN(P9,Q9)&lt;=0,0,IF(ABS(P9-Q9)&lt;0.00000001,(P9+Q9)/2,(P9-Q9)/LN(P9/Q9))))</f>
        <v>15.294607752313684</v>
      </c>
      <c r="S9" s="1" t="str">
        <f>IF(M9=0,0,IF('Entradas'!$B$5=0,"sin U",IF(R9=0,"infinita",M9/('Entradas'!$B$5*R9))))</f>
        <v>sin U</v>
      </c>
      <c r="T9" s="6">
        <f>IF(AND(E9&gt;0,'Entradas'!E11="HOT",'Entradas'!H11&lt;=(I9+J9)/2,'Entradas'!I11&gt;=(I9+J9)/2),'Entradas'!B11/G9,0)</f>
        <v>0.2</v>
      </c>
      <c r="U9" s="6">
        <f>IF(AND(E9&gt;0,'Entradas'!E12="HOT",'Entradas'!H12&lt;=(I9+J9)/2,'Entradas'!I12&gt;=(I9+J9)/2),'Entradas'!B12/G9,0)</f>
        <v>0.8</v>
      </c>
      <c r="V9" s="6">
        <f>IF(AND(E9&gt;0,'Entradas'!E13="HOT",'Entradas'!H13&lt;=(I9+J9)/2,'Entradas'!I13&gt;=(I9+J9)/2),'Entradas'!B13/G9,0)</f>
        <v>0.0</v>
      </c>
      <c r="W9" s="6">
        <f>IF(AND(E9&gt;0,'Entradas'!E14="HOT",'Entradas'!H14&lt;=(I9+J9)/2,'Entradas'!I14&gt;=(I9+J9)/2),'Entradas'!B14/G9,0)</f>
        <v>0.0</v>
      </c>
      <c r="X9" s="6">
        <f>IF(AND(F9&gt;0,'Entradas'!E11="COLD",'Entradas'!H11&lt;=(K9+L9)/2,'Entradas'!I11&gt;=(K9+L9)/2),'Entradas'!B11/H9,0)</f>
        <v>0.0</v>
      </c>
      <c r="Y9" s="6">
        <f>IF(AND(F9&gt;0,'Entradas'!E12="COLD",'Entradas'!H12&lt;=(K9+L9)/2,'Entradas'!I12&gt;=(K9+L9)/2),'Entradas'!B12/H9,0)</f>
        <v>0.0</v>
      </c>
      <c r="Z9" s="6">
        <f>IF(AND(F9&gt;0,'Entradas'!E13="COLD",'Entradas'!H13&lt;=(K9+L9)/2,'Entradas'!I13&gt;=(K9+L9)/2),'Entradas'!B13/H9,0)</f>
        <v>1.0</v>
      </c>
      <c r="AA9" s="6">
        <f>IF(AND(F9&gt;0,'Entradas'!E14="COLD",'Entradas'!H14&lt;=(K9+L9)/2,'Entradas'!I14&gt;=(K9+L9)/2),'Entradas'!B14/H9,0)</f>
        <v>0.0</v>
      </c>
    </row>
    <row r="10" spans="1:27" ht="21" customHeight="1">
      <c r="A10" s="1">
        <f>'Compuestas'!H10</f>
        <v>480000.0</v>
      </c>
      <c r="B10" s="1">
        <f>SMALL($A$4:$A$19,7)</f>
        <v>150000.0</v>
      </c>
      <c r="C10" s="1">
        <f>B11-B10</f>
        <v>30000.0</v>
      </c>
      <c r="D10" s="1">
        <f>(B10+B11)/2</f>
        <v>165000.0</v>
      </c>
      <c r="E10" s="1">
        <f>IF(C10&lt;='Resumen'!$B$14,0,SUMPRODUCT(--('Compuestas'!$H$4:$H$10&lt;=D10),--('Compuestas'!$H$5:$H$11&gt;D10),'Compuestas'!$O$4:$O$10))</f>
        <v>4</v>
      </c>
      <c r="F10" s="1">
        <f>IF(C10&lt;='Resumen'!$B$14,0,SUMPRODUCT(--('Compuestas'!$J$4:$J$10&lt;=D10),--('Compuestas'!$J$5:$J$11&gt;D10),'Compuestas'!$O$4:$O$10))</f>
        <v>3</v>
      </c>
      <c r="G10" s="1">
        <f>IF(E10&gt;0,INDEX('Compuestas'!$D$4:$D$10,E10),0)</f>
        <v>5000.0</v>
      </c>
      <c r="H10" s="1">
        <f>IF(F10&gt;0,INDEX('Compuestas'!$E$4:$E$10,F10),0)</f>
        <v>3000.0</v>
      </c>
      <c r="I10" s="1">
        <f>IF(E10&gt;0,INDEX('Compuestas'!$B$4:$B$10,E10)+(B10-INDEX('Compuestas'!$H$4:$H$10,E10))/G10,0)</f>
        <v>134.0</v>
      </c>
      <c r="J10" s="1">
        <f>IF(E10&gt;0,INDEX('Compuestas'!$B$4:$B$10,E10)+(B11-INDEX('Compuestas'!$H$4:$H$10,E10))/G10,0)</f>
        <v>140.0</v>
      </c>
      <c r="K10" s="1">
        <f>IF(F10&gt;0,INDEX('Compuestas'!$B$4:$B$10,F10)+(B10-INDEX('Compuestas'!$J$4:$J$10,F10))/H10,0)</f>
        <v>120.0</v>
      </c>
      <c r="L10" s="1">
        <f>IF(F10&gt;0,INDEX('Compuestas'!$B$4:$B$10,F10)+(B11-INDEX('Compuestas'!$J$4:$J$10,F10))/H10,0)</f>
        <v>130.0</v>
      </c>
      <c r="M10" s="1">
        <f>IF(AND(E10&gt;0,F10&gt;0),C10,0)</f>
        <v>30000.0</v>
      </c>
      <c r="N10" s="1">
        <f>IF(AND(E10&gt;0,F10=0),C10,0)</f>
        <v>0.0</v>
      </c>
      <c r="O10" s="1">
        <f>IF(AND(E10=0,F10&gt;0),C10,0)</f>
        <v>0.0</v>
      </c>
      <c r="P10" s="1">
        <f>IF(M10&gt;0,J10-L10,0)</f>
        <v>10.0</v>
      </c>
      <c r="Q10" s="1">
        <f>IF(M10&gt;0,I10-K10,0)</f>
        <v>14.0</v>
      </c>
      <c r="R10" s="1">
        <f>IF(M10=0,0,IF(MIN(P10,Q10)&lt;=0,0,IF(ABS(P10-Q10)&lt;0.00000001,(P10+Q10)/2,(P10-Q10)/LN(P10/Q10))))</f>
        <v>11.888053647953846</v>
      </c>
      <c r="S10" s="1" t="str">
        <f>IF(M10=0,0,IF('Entradas'!$B$5=0,"sin U",IF(R10=0,"infinita",M10/('Entradas'!$B$5*R10))))</f>
        <v>sin U</v>
      </c>
      <c r="T10" s="6">
        <f>IF(AND(E10&gt;0,'Entradas'!E11="HOT",'Entradas'!H11&lt;=(I10+J10)/2,'Entradas'!I11&gt;=(I10+J10)/2),'Entradas'!B11/G10,0)</f>
        <v>0.2</v>
      </c>
      <c r="U10" s="6">
        <f>IF(AND(E10&gt;0,'Entradas'!E12="HOT",'Entradas'!H12&lt;=(I10+J10)/2,'Entradas'!I12&gt;=(I10+J10)/2),'Entradas'!B12/G10,0)</f>
        <v>0.8</v>
      </c>
      <c r="V10" s="6">
        <f>IF(AND(E10&gt;0,'Entradas'!E13="HOT",'Entradas'!H13&lt;=(I10+J10)/2,'Entradas'!I13&gt;=(I10+J10)/2),'Entradas'!B13/G10,0)</f>
        <v>0.0</v>
      </c>
      <c r="W10" s="6">
        <f>IF(AND(E10&gt;0,'Entradas'!E14="HOT",'Entradas'!H14&lt;=(I10+J10)/2,'Entradas'!I14&gt;=(I10+J10)/2),'Entradas'!B14/G10,0)</f>
        <v>0.0</v>
      </c>
      <c r="X10" s="6">
        <f>IF(AND(F10&gt;0,'Entradas'!E11="COLD",'Entradas'!H11&lt;=(K10+L10)/2,'Entradas'!I11&gt;=(K10+L10)/2),'Entradas'!B11/H10,0)</f>
        <v>0.0</v>
      </c>
      <c r="Y10" s="6">
        <f>IF(AND(F10&gt;0,'Entradas'!E12="COLD",'Entradas'!H12&lt;=(K10+L10)/2,'Entradas'!I12&gt;=(K10+L10)/2),'Entradas'!B12/H10,0)</f>
        <v>0.0</v>
      </c>
      <c r="Z10" s="6">
        <f>IF(AND(F10&gt;0,'Entradas'!E13="COLD",'Entradas'!H13&lt;=(K10+L10)/2,'Entradas'!I13&gt;=(K10+L10)/2),'Entradas'!B13/H10,0)</f>
        <v>1.0</v>
      </c>
      <c r="AA10" s="6">
        <f>IF(AND(F10&gt;0,'Entradas'!E14="COLD",'Entradas'!H14&lt;=(K10+L10)/2,'Entradas'!I14&gt;=(K10+L10)/2),'Entradas'!B14/H10,0)</f>
        <v>0.0</v>
      </c>
    </row>
    <row r="11" spans="1:27" ht="21" customHeight="1">
      <c r="A11" s="1">
        <f>'Compuestas'!H11</f>
        <v>530000.0</v>
      </c>
      <c r="B11" s="1">
        <f>SMALL($A$4:$A$19,8)</f>
        <v>180000.0</v>
      </c>
      <c r="C11" s="1">
        <f>B12-B11</f>
        <v>50000.0</v>
      </c>
      <c r="D11" s="1">
        <f>(B11+B12)/2</f>
        <v>205000.0</v>
      </c>
      <c r="E11" s="1">
        <f>IF(C11&lt;='Resumen'!$B$14,0,SUMPRODUCT(--('Compuestas'!$H$4:$H$10&lt;=D11),--('Compuestas'!$H$5:$H$11&gt;D11),'Compuestas'!$O$4:$O$10))</f>
        <v>4</v>
      </c>
      <c r="F11" s="1">
        <f>IF(C11&lt;='Resumen'!$B$14,0,SUMPRODUCT(--('Compuestas'!$J$4:$J$10&lt;=D11),--('Compuestas'!$J$5:$J$11&gt;D11),'Compuestas'!$O$4:$O$10))</f>
        <v>4</v>
      </c>
      <c r="G11" s="1">
        <f>IF(E11&gt;0,INDEX('Compuestas'!$D$4:$D$10,E11),0)</f>
        <v>5000.0</v>
      </c>
      <c r="H11" s="1">
        <f>IF(F11&gt;0,INDEX('Compuestas'!$E$4:$E$10,F11),0)</f>
        <v>9000.0</v>
      </c>
      <c r="I11" s="1">
        <f>IF(E11&gt;0,INDEX('Compuestas'!$B$4:$B$10,E11)+(B11-INDEX('Compuestas'!$H$4:$H$10,E11))/G11,0)</f>
        <v>140.0</v>
      </c>
      <c r="J11" s="1">
        <f>IF(E11&gt;0,INDEX('Compuestas'!$B$4:$B$10,E11)+(B12-INDEX('Compuestas'!$H$4:$H$10,E11))/G11,0)</f>
        <v>150.0</v>
      </c>
      <c r="K11" s="1">
        <f>IF(F11&gt;0,INDEX('Compuestas'!$B$4:$B$10,F11)+(B11-INDEX('Compuestas'!$J$4:$J$10,F11))/H11,0)</f>
        <v>130.0</v>
      </c>
      <c r="L11" s="1">
        <f>IF(F11&gt;0,INDEX('Compuestas'!$B$4:$B$10,F11)+(B12-INDEX('Compuestas'!$J$4:$J$10,F11))/H11,0)</f>
        <v>135.55555555555554</v>
      </c>
      <c r="M11" s="1">
        <f>IF(AND(E11&gt;0,F11&gt;0),C11,0)</f>
        <v>50000.0</v>
      </c>
      <c r="N11" s="1">
        <f>IF(AND(E11&gt;0,F11=0),C11,0)</f>
        <v>0.0</v>
      </c>
      <c r="O11" s="1">
        <f>IF(AND(E11=0,F11&gt;0),C11,0)</f>
        <v>0.0</v>
      </c>
      <c r="P11" s="1">
        <f>IF(M11&gt;0,J11-L11,0)</f>
        <v>14.444444444444457</v>
      </c>
      <c r="Q11" s="1">
        <f>IF(M11&gt;0,I11-K11,0)</f>
        <v>10.0</v>
      </c>
      <c r="R11" s="1">
        <f>IF(M11=0,0,IF(MIN(P11,Q11)&lt;=0,0,IF(ABS(P11-Q11)&lt;0.00000001,(P11+Q11)/2,(P11-Q11)/LN(P11/Q11))))</f>
        <v>12.086333814462595</v>
      </c>
      <c r="S11" s="1" t="str">
        <f>IF(M11=0,0,IF('Entradas'!$B$5=0,"sin U",IF(R11=0,"infinita",M11/('Entradas'!$B$5*R11))))</f>
        <v>sin U</v>
      </c>
      <c r="T11" s="6">
        <f>IF(AND(E11&gt;0,'Entradas'!E11="HOT",'Entradas'!H11&lt;=(I11+J11)/2,'Entradas'!I11&gt;=(I11+J11)/2),'Entradas'!B11/G11,0)</f>
        <v>0.2</v>
      </c>
      <c r="U11" s="6">
        <f>IF(AND(E11&gt;0,'Entradas'!E12="HOT",'Entradas'!H12&lt;=(I11+J11)/2,'Entradas'!I12&gt;=(I11+J11)/2),'Entradas'!B12/G11,0)</f>
        <v>0.8</v>
      </c>
      <c r="V11" s="6">
        <f>IF(AND(E11&gt;0,'Entradas'!E13="HOT",'Entradas'!H13&lt;=(I11+J11)/2,'Entradas'!I13&gt;=(I11+J11)/2),'Entradas'!B13/G11,0)</f>
        <v>0.0</v>
      </c>
      <c r="W11" s="6">
        <f>IF(AND(E11&gt;0,'Entradas'!E14="HOT",'Entradas'!H14&lt;=(I11+J11)/2,'Entradas'!I14&gt;=(I11+J11)/2),'Entradas'!B14/G11,0)</f>
        <v>0.0</v>
      </c>
      <c r="X11" s="6">
        <f>IF(AND(F11&gt;0,'Entradas'!E11="COLD",'Entradas'!H11&lt;=(K11+L11)/2,'Entradas'!I11&gt;=(K11+L11)/2),'Entradas'!B11/H11,0)</f>
        <v>0.0</v>
      </c>
      <c r="Y11" s="6">
        <f>IF(AND(F11&gt;0,'Entradas'!E12="COLD",'Entradas'!H12&lt;=(K11+L11)/2,'Entradas'!I12&gt;=(K11+L11)/2),'Entradas'!B12/H11,0)</f>
        <v>0.0</v>
      </c>
      <c r="Z11" s="6">
        <f>IF(AND(F11&gt;0,'Entradas'!E13="COLD",'Entradas'!H13&lt;=(K11+L11)/2,'Entradas'!I13&gt;=(K11+L11)/2),'Entradas'!B13/H11,0)</f>
        <v>0.3333333333333333</v>
      </c>
      <c r="AA11" s="6">
        <f>IF(AND(F11&gt;0,'Entradas'!E14="COLD",'Entradas'!H14&lt;=(K11+L11)/2,'Entradas'!I14&gt;=(K11+L11)/2),'Entradas'!B14/H11,0)</f>
        <v>0.6666666666666666</v>
      </c>
    </row>
    <row r="12" spans="1:27" ht="21" customHeight="1">
      <c r="A12" s="1">
        <f>'Compuestas'!J4</f>
        <v>60000.0</v>
      </c>
      <c r="B12" s="1">
        <f>SMALL($A$4:$A$19,9)</f>
        <v>230000.0</v>
      </c>
      <c r="C12" s="1">
        <f>B13-B12</f>
        <v>130000.0</v>
      </c>
      <c r="D12" s="1">
        <f>(B12+B13)/2</f>
        <v>295000.0</v>
      </c>
      <c r="E12" s="1">
        <f>IF(C12&lt;='Resumen'!$B$14,0,SUMPRODUCT(--('Compuestas'!$H$4:$H$10&lt;=D12),--('Compuestas'!$H$5:$H$11&gt;D12),'Compuestas'!$O$4:$O$10))</f>
        <v>5</v>
      </c>
      <c r="F12" s="1">
        <f>IF(C12&lt;='Resumen'!$B$14,0,SUMPRODUCT(--('Compuestas'!$J$4:$J$10&lt;=D12),--('Compuestas'!$J$5:$J$11&gt;D12),'Compuestas'!$O$4:$O$10))</f>
        <v>4</v>
      </c>
      <c r="G12" s="1">
        <f>IF(E12&gt;0,INDEX('Compuestas'!$D$4:$D$10,E12),0)</f>
        <v>5000.0</v>
      </c>
      <c r="H12" s="1">
        <f>IF(F12&gt;0,INDEX('Compuestas'!$E$4:$E$10,F12),0)</f>
        <v>9000.0</v>
      </c>
      <c r="I12" s="1">
        <f>IF(E12&gt;0,INDEX('Compuestas'!$B$4:$B$10,E12)+(B12-INDEX('Compuestas'!$H$4:$H$10,E12))/G12,0)</f>
        <v>150.0</v>
      </c>
      <c r="J12" s="1">
        <f>IF(E12&gt;0,INDEX('Compuestas'!$B$4:$B$10,E12)+(B13-INDEX('Compuestas'!$H$4:$H$10,E12))/G12,0)</f>
        <v>176.0</v>
      </c>
      <c r="K12" s="1">
        <f>IF(F12&gt;0,INDEX('Compuestas'!$B$4:$B$10,F12)+(B12-INDEX('Compuestas'!$J$4:$J$10,F12))/H12,0)</f>
        <v>135.55555555555554</v>
      </c>
      <c r="L12" s="1">
        <f>IF(F12&gt;0,INDEX('Compuestas'!$B$4:$B$10,F12)+(B13-INDEX('Compuestas'!$J$4:$J$10,F12))/H12,0)</f>
        <v>150.0</v>
      </c>
      <c r="M12" s="1">
        <f>IF(AND(E12&gt;0,F12&gt;0),C12,0)</f>
        <v>130000.0</v>
      </c>
      <c r="N12" s="1">
        <f>IF(AND(E12&gt;0,F12=0),C12,0)</f>
        <v>0.0</v>
      </c>
      <c r="O12" s="1">
        <f>IF(AND(E12=0,F12&gt;0),C12,0)</f>
        <v>0.0</v>
      </c>
      <c r="P12" s="1">
        <f>IF(M12&gt;0,J12-L12,0)</f>
        <v>26.0</v>
      </c>
      <c r="Q12" s="1">
        <f>IF(M12&gt;0,I12-K12,0)</f>
        <v>14.444444444444457</v>
      </c>
      <c r="R12" s="1">
        <f>IF(M12=0,0,IF(MIN(P12,Q12)&lt;=0,0,IF(ABS(P12-Q12)&lt;0.00000001,(P12+Q12)/2,(P12-Q12)/LN(P12/Q12))))</f>
        <v>19.65943810154292</v>
      </c>
      <c r="S12" s="1" t="str">
        <f>IF(M12=0,0,IF('Entradas'!$B$5=0,"sin U",IF(R12=0,"infinita",M12/('Entradas'!$B$5*R12))))</f>
        <v>sin U</v>
      </c>
      <c r="T12" s="6">
        <f>IF(AND(E12&gt;0,'Entradas'!E11="HOT",'Entradas'!H11&lt;=(I12+J12)/2,'Entradas'!I11&gt;=(I12+J12)/2),'Entradas'!B11/G12,0)</f>
        <v>0.2</v>
      </c>
      <c r="U12" s="6">
        <f>IF(AND(E12&gt;0,'Entradas'!E12="HOT",'Entradas'!H12&lt;=(I12+J12)/2,'Entradas'!I12&gt;=(I12+J12)/2),'Entradas'!B12/G12,0)</f>
        <v>0.8</v>
      </c>
      <c r="V12" s="6">
        <f>IF(AND(E12&gt;0,'Entradas'!E13="HOT",'Entradas'!H13&lt;=(I12+J12)/2,'Entradas'!I13&gt;=(I12+J12)/2),'Entradas'!B13/G12,0)</f>
        <v>0.0</v>
      </c>
      <c r="W12" s="6">
        <f>IF(AND(E12&gt;0,'Entradas'!E14="HOT",'Entradas'!H14&lt;=(I12+J12)/2,'Entradas'!I14&gt;=(I12+J12)/2),'Entradas'!B14/G12,0)</f>
        <v>0.0</v>
      </c>
      <c r="X12" s="6">
        <f>IF(AND(F12&gt;0,'Entradas'!E11="COLD",'Entradas'!H11&lt;=(K12+L12)/2,'Entradas'!I11&gt;=(K12+L12)/2),'Entradas'!B11/H12,0)</f>
        <v>0.0</v>
      </c>
      <c r="Y12" s="6">
        <f>IF(AND(F12&gt;0,'Entradas'!E12="COLD",'Entradas'!H12&lt;=(K12+L12)/2,'Entradas'!I12&gt;=(K12+L12)/2),'Entradas'!B12/H12,0)</f>
        <v>0.0</v>
      </c>
      <c r="Z12" s="6">
        <f>IF(AND(F12&gt;0,'Entradas'!E13="COLD",'Entradas'!H13&lt;=(K12+L12)/2,'Entradas'!I13&gt;=(K12+L12)/2),'Entradas'!B13/H12,0)</f>
        <v>0.3333333333333333</v>
      </c>
      <c r="AA12" s="6">
        <f>IF(AND(F12&gt;0,'Entradas'!E14="COLD",'Entradas'!H14&lt;=(K12+L12)/2,'Entradas'!I14&gt;=(K12+L12)/2),'Entradas'!B14/H12,0)</f>
        <v>0.6666666666666666</v>
      </c>
    </row>
    <row r="13" spans="1:27" ht="21" customHeight="1">
      <c r="A13" s="1">
        <f>'Compuestas'!J5</f>
        <v>90000.0</v>
      </c>
      <c r="B13" s="1">
        <f>SMALL($A$4:$A$19,10)</f>
        <v>360000.0</v>
      </c>
      <c r="C13" s="1">
        <f>B14-B13</f>
        <v>70000.0</v>
      </c>
      <c r="D13" s="1">
        <f>(B13+B14)/2</f>
        <v>395000.0</v>
      </c>
      <c r="E13" s="1">
        <f>IF(C13&lt;='Resumen'!$B$14,0,SUMPRODUCT(--('Compuestas'!$H$4:$H$10&lt;=D13),--('Compuestas'!$H$5:$H$11&gt;D13),'Compuestas'!$O$4:$O$10))</f>
        <v>5</v>
      </c>
      <c r="F13" s="1">
        <f>IF(C13&lt;='Resumen'!$B$14,0,SUMPRODUCT(--('Compuestas'!$J$4:$J$10&lt;=D13),--('Compuestas'!$J$5:$J$11&gt;D13),'Compuestas'!$O$4:$O$10))</f>
        <v>5</v>
      </c>
      <c r="G13" s="1">
        <f>IF(E13&gt;0,INDEX('Compuestas'!$D$4:$D$10,E13),0)</f>
        <v>5000.0</v>
      </c>
      <c r="H13" s="1">
        <f>IF(F13&gt;0,INDEX('Compuestas'!$E$4:$E$10,F13),0)</f>
        <v>6000.0</v>
      </c>
      <c r="I13" s="1">
        <f>IF(E13&gt;0,INDEX('Compuestas'!$B$4:$B$10,E13)+(B13-INDEX('Compuestas'!$H$4:$H$10,E13))/G13,0)</f>
        <v>176.0</v>
      </c>
      <c r="J13" s="1">
        <f>IF(E13&gt;0,INDEX('Compuestas'!$B$4:$B$10,E13)+(B14-INDEX('Compuestas'!$H$4:$H$10,E13))/G13,0)</f>
        <v>190.0</v>
      </c>
      <c r="K13" s="1">
        <f>IF(F13&gt;0,INDEX('Compuestas'!$B$4:$B$10,F13)+(B13-INDEX('Compuestas'!$J$4:$J$10,F13))/H13,0)</f>
        <v>150.0</v>
      </c>
      <c r="L13" s="1">
        <f>IF(F13&gt;0,INDEX('Compuestas'!$B$4:$B$10,F13)+(B14-INDEX('Compuestas'!$J$4:$J$10,F13))/H13,0)</f>
        <v>161.66666666666666</v>
      </c>
      <c r="M13" s="1">
        <f>IF(AND(E13&gt;0,F13&gt;0),C13,0)</f>
        <v>70000.0</v>
      </c>
      <c r="N13" s="1">
        <f>IF(AND(E13&gt;0,F13=0),C13,0)</f>
        <v>0.0</v>
      </c>
      <c r="O13" s="1">
        <f>IF(AND(E13=0,F13&gt;0),C13,0)</f>
        <v>0.0</v>
      </c>
      <c r="P13" s="1">
        <f>IF(M13&gt;0,J13-L13,0)</f>
        <v>28.333333333333343</v>
      </c>
      <c r="Q13" s="1">
        <f>IF(M13&gt;0,I13-K13,0)</f>
        <v>26.0</v>
      </c>
      <c r="R13" s="1">
        <f>IF(M13=0,0,IF(MIN(P13,Q13)&lt;=0,0,IF(ABS(P13-Q13)&lt;0.00000001,(P13+Q13)/2,(P13-Q13)/LN(P13/Q13))))</f>
        <v>27.14995769544391</v>
      </c>
      <c r="S13" s="1" t="str">
        <f>IF(M13=0,0,IF('Entradas'!$B$5=0,"sin U",IF(R13=0,"infinita",M13/('Entradas'!$B$5*R13))))</f>
        <v>sin U</v>
      </c>
      <c r="T13" s="6">
        <f>IF(AND(E13&gt;0,'Entradas'!E11="HOT",'Entradas'!H11&lt;=(I13+J13)/2,'Entradas'!I11&gt;=(I13+J13)/2),'Entradas'!B11/G13,0)</f>
        <v>0.2</v>
      </c>
      <c r="U13" s="6">
        <f>IF(AND(E13&gt;0,'Entradas'!E12="HOT",'Entradas'!H12&lt;=(I13+J13)/2,'Entradas'!I12&gt;=(I13+J13)/2),'Entradas'!B12/G13,0)</f>
        <v>0.8</v>
      </c>
      <c r="V13" s="6">
        <f>IF(AND(E13&gt;0,'Entradas'!E13="HOT",'Entradas'!H13&lt;=(I13+J13)/2,'Entradas'!I13&gt;=(I13+J13)/2),'Entradas'!B13/G13,0)</f>
        <v>0.0</v>
      </c>
      <c r="W13" s="6">
        <f>IF(AND(E13&gt;0,'Entradas'!E14="HOT",'Entradas'!H14&lt;=(I13+J13)/2,'Entradas'!I14&gt;=(I13+J13)/2),'Entradas'!B14/G13,0)</f>
        <v>0.0</v>
      </c>
      <c r="X13" s="6">
        <f>IF(AND(F13&gt;0,'Entradas'!E11="COLD",'Entradas'!H11&lt;=(K13+L13)/2,'Entradas'!I11&gt;=(K13+L13)/2),'Entradas'!B11/H13,0)</f>
        <v>0.0</v>
      </c>
      <c r="Y13" s="6">
        <f>IF(AND(F13&gt;0,'Entradas'!E12="COLD",'Entradas'!H12&lt;=(K13+L13)/2,'Entradas'!I12&gt;=(K13+L13)/2),'Entradas'!B12/H13,0)</f>
        <v>0.0</v>
      </c>
      <c r="Z13" s="6">
        <f>IF(AND(F13&gt;0,'Entradas'!E13="COLD",'Entradas'!H13&lt;=(K13+L13)/2,'Entradas'!I13&gt;=(K13+L13)/2),'Entradas'!B13/H13,0)</f>
        <v>0.0</v>
      </c>
      <c r="AA13" s="6">
        <f>IF(AND(F13&gt;0,'Entradas'!E14="COLD",'Entradas'!H14&lt;=(K13+L13)/2,'Entradas'!I14&gt;=(K13+L13)/2),'Entradas'!B14/H13,0)</f>
        <v>1.0</v>
      </c>
    </row>
    <row r="14" spans="1:27" ht="21" customHeight="1">
      <c r="A14" s="1">
        <f>'Compuestas'!J6</f>
        <v>150000.0</v>
      </c>
      <c r="B14" s="1">
        <f>SMALL($A$4:$A$19,11)</f>
        <v>430000.0</v>
      </c>
      <c r="C14" s="1">
        <f>B15-B14</f>
        <v>50000.0</v>
      </c>
      <c r="D14" s="1">
        <f>(B14+B15)/2</f>
        <v>455000.0</v>
      </c>
      <c r="E14" s="1">
        <f>IF(C14&lt;='Resumen'!$B$14,0,SUMPRODUCT(--('Compuestas'!$H$4:$H$10&lt;=D14),--('Compuestas'!$H$5:$H$11&gt;D14),'Compuestas'!$O$4:$O$10))</f>
        <v>6</v>
      </c>
      <c r="F14" s="1">
        <f>IF(C14&lt;='Resumen'!$B$14,0,SUMPRODUCT(--('Compuestas'!$J$4:$J$10&lt;=D14),--('Compuestas'!$J$5:$J$11&gt;D14),'Compuestas'!$O$4:$O$10))</f>
        <v>5</v>
      </c>
      <c r="G14" s="1">
        <f>IF(E14&gt;0,INDEX('Compuestas'!$D$4:$D$10,E14),0)</f>
        <v>5000.0</v>
      </c>
      <c r="H14" s="1">
        <f>IF(F14&gt;0,INDEX('Compuestas'!$E$4:$E$10,F14),0)</f>
        <v>6000.0</v>
      </c>
      <c r="I14" s="1">
        <f>IF(E14&gt;0,INDEX('Compuestas'!$B$4:$B$10,E14)+(B14-INDEX('Compuestas'!$H$4:$H$10,E14))/G14,0)</f>
        <v>190.0</v>
      </c>
      <c r="J14" s="1">
        <f>IF(E14&gt;0,INDEX('Compuestas'!$B$4:$B$10,E14)+(B15-INDEX('Compuestas'!$H$4:$H$10,E14))/G14,0)</f>
        <v>200.0</v>
      </c>
      <c r="K14" s="1">
        <f>IF(F14&gt;0,INDEX('Compuestas'!$B$4:$B$10,F14)+(B14-INDEX('Compuestas'!$J$4:$J$10,F14))/H14,0)</f>
        <v>161.66666666666666</v>
      </c>
      <c r="L14" s="1">
        <f>IF(F14&gt;0,INDEX('Compuestas'!$B$4:$B$10,F14)+(B15-INDEX('Compuestas'!$J$4:$J$10,F14))/H14,0)</f>
        <v>170.0</v>
      </c>
      <c r="M14" s="1">
        <f>IF(AND(E14&gt;0,F14&gt;0),C14,0)</f>
        <v>50000.0</v>
      </c>
      <c r="N14" s="1">
        <f>IF(AND(E14&gt;0,F14=0),C14,0)</f>
        <v>0.0</v>
      </c>
      <c r="O14" s="1">
        <f>IF(AND(E14=0,F14&gt;0),C14,0)</f>
        <v>0.0</v>
      </c>
      <c r="P14" s="1">
        <f>IF(M14&gt;0,J14-L14,0)</f>
        <v>30.0</v>
      </c>
      <c r="Q14" s="1">
        <f>IF(M14&gt;0,I14-K14,0)</f>
        <v>28.333333333333343</v>
      </c>
      <c r="R14" s="1">
        <f>IF(M14=0,0,IF(MIN(P14,Q14)&lt;=0,0,IF(ABS(P14-Q14)&lt;0.00000001,(P14+Q14)/2,(P14-Q14)/LN(P14/Q14))))</f>
        <v>29.158728430315858</v>
      </c>
      <c r="S14" s="1" t="str">
        <f>IF(M14=0,0,IF('Entradas'!$B$5=0,"sin U",IF(R14=0,"infinita",M14/('Entradas'!$B$5*R14))))</f>
        <v>sin U</v>
      </c>
      <c r="T14" s="6">
        <f>IF(AND(E14&gt;0,'Entradas'!E11="HOT",'Entradas'!H11&lt;=(I14+J14)/2,'Entradas'!I11&gt;=(I14+J14)/2),'Entradas'!B11/G14,0)</f>
        <v>0.2</v>
      </c>
      <c r="U14" s="6">
        <f>IF(AND(E14&gt;0,'Entradas'!E12="HOT",'Entradas'!H12&lt;=(I14+J14)/2,'Entradas'!I12&gt;=(I14+J14)/2),'Entradas'!B12/G14,0)</f>
        <v>0.8</v>
      </c>
      <c r="V14" s="6">
        <f>IF(AND(E14&gt;0,'Entradas'!E13="HOT",'Entradas'!H13&lt;=(I14+J14)/2,'Entradas'!I13&gt;=(I14+J14)/2),'Entradas'!B13/G14,0)</f>
        <v>0.0</v>
      </c>
      <c r="W14" s="6">
        <f>IF(AND(E14&gt;0,'Entradas'!E14="HOT",'Entradas'!H14&lt;=(I14+J14)/2,'Entradas'!I14&gt;=(I14+J14)/2),'Entradas'!B14/G14,0)</f>
        <v>0.0</v>
      </c>
      <c r="X14" s="6">
        <f>IF(AND(F14&gt;0,'Entradas'!E11="COLD",'Entradas'!H11&lt;=(K14+L14)/2,'Entradas'!I11&gt;=(K14+L14)/2),'Entradas'!B11/H14,0)</f>
        <v>0.0</v>
      </c>
      <c r="Y14" s="6">
        <f>IF(AND(F14&gt;0,'Entradas'!E12="COLD",'Entradas'!H12&lt;=(K14+L14)/2,'Entradas'!I12&gt;=(K14+L14)/2),'Entradas'!B12/H14,0)</f>
        <v>0.0</v>
      </c>
      <c r="Z14" s="6">
        <f>IF(AND(F14&gt;0,'Entradas'!E13="COLD",'Entradas'!H13&lt;=(K14+L14)/2,'Entradas'!I13&gt;=(K14+L14)/2),'Entradas'!B13/H14,0)</f>
        <v>0.0</v>
      </c>
      <c r="AA14" s="6">
        <f>IF(AND(F14&gt;0,'Entradas'!E14="COLD",'Entradas'!H14&lt;=(K14+L14)/2,'Entradas'!I14&gt;=(K14+L14)/2),'Entradas'!B14/H14,0)</f>
        <v>1.0</v>
      </c>
    </row>
    <row r="15" spans="1:27" ht="21" customHeight="1">
      <c r="A15" s="1">
        <f>'Compuestas'!J7</f>
        <v>180000.0</v>
      </c>
      <c r="B15" s="1">
        <f>SMALL($A$4:$A$19,12)</f>
        <v>480000.0</v>
      </c>
      <c r="C15" s="1">
        <f>B16-B15</f>
        <v>50000.0</v>
      </c>
      <c r="D15" s="1">
        <f>(B15+B16)/2</f>
        <v>505000.0</v>
      </c>
      <c r="E15" s="1">
        <f>IF(C15&lt;='Resumen'!$B$14,0,SUMPRODUCT(--('Compuestas'!$H$4:$H$10&lt;=D15),--('Compuestas'!$H$5:$H$11&gt;D15),'Compuestas'!$O$4:$O$10))</f>
        <v>7</v>
      </c>
      <c r="F15" s="1">
        <f>IF(C15&lt;='Resumen'!$B$14,0,SUMPRODUCT(--('Compuestas'!$J$4:$J$10&lt;=D15),--('Compuestas'!$J$5:$J$11&gt;D15),'Compuestas'!$O$4:$O$10))</f>
        <v>5</v>
      </c>
      <c r="G15" s="1">
        <f>IF(E15&gt;0,INDEX('Compuestas'!$D$4:$D$10,E15),0)</f>
        <v>1000.0</v>
      </c>
      <c r="H15" s="1">
        <f>IF(F15&gt;0,INDEX('Compuestas'!$E$4:$E$10,F15),0)</f>
        <v>6000.0</v>
      </c>
      <c r="I15" s="1">
        <f>IF(E15&gt;0,INDEX('Compuestas'!$B$4:$B$10,E15)+(B15-INDEX('Compuestas'!$H$4:$H$10,E15))/G15,0)</f>
        <v>200.0</v>
      </c>
      <c r="J15" s="1">
        <f>IF(E15&gt;0,INDEX('Compuestas'!$B$4:$B$10,E15)+(B16-INDEX('Compuestas'!$H$4:$H$10,E15))/G15,0)</f>
        <v>250.0</v>
      </c>
      <c r="K15" s="1">
        <f>IF(F15&gt;0,INDEX('Compuestas'!$B$4:$B$10,F15)+(B15-INDEX('Compuestas'!$J$4:$J$10,F15))/H15,0)</f>
        <v>170.0</v>
      </c>
      <c r="L15" s="1">
        <f>IF(F15&gt;0,INDEX('Compuestas'!$B$4:$B$10,F15)+(B16-INDEX('Compuestas'!$J$4:$J$10,F15))/H15,0)</f>
        <v>178.33333333333334</v>
      </c>
      <c r="M15" s="1">
        <f>IF(AND(E15&gt;0,F15&gt;0),C15,0)</f>
        <v>50000.0</v>
      </c>
      <c r="N15" s="1">
        <f>IF(AND(E15&gt;0,F15=0),C15,0)</f>
        <v>0.0</v>
      </c>
      <c r="O15" s="1">
        <f>IF(AND(E15=0,F15&gt;0),C15,0)</f>
        <v>0.0</v>
      </c>
      <c r="P15" s="1">
        <f>IF(M15&gt;0,J15-L15,0)</f>
        <v>71.66666666666666</v>
      </c>
      <c r="Q15" s="1">
        <f>IF(M15&gt;0,I15-K15,0)</f>
        <v>30.0</v>
      </c>
      <c r="R15" s="1">
        <f>IF(M15=0,0,IF(MIN(P15,Q15)&lt;=0,0,IF(ABS(P15-Q15)&lt;0.00000001,(P15+Q15)/2,(P15-Q15)/LN(P15/Q15))))</f>
        <v>47.84716332855184</v>
      </c>
      <c r="S15" s="1" t="str">
        <f>IF(M15=0,0,IF('Entradas'!$B$5=0,"sin U",IF(R15=0,"infinita",M15/('Entradas'!$B$5*R15))))</f>
        <v>sin U</v>
      </c>
      <c r="T15" s="6">
        <f>IF(AND(E15&gt;0,'Entradas'!E11="HOT",'Entradas'!H11&lt;=(I15+J15)/2,'Entradas'!I11&gt;=(I15+J15)/2),'Entradas'!B11/G15,0)</f>
        <v>1.0</v>
      </c>
      <c r="U15" s="6">
        <f>IF(AND(E15&gt;0,'Entradas'!E12="HOT",'Entradas'!H12&lt;=(I15+J15)/2,'Entradas'!I12&gt;=(I15+J15)/2),'Entradas'!B12/G15,0)</f>
        <v>0.0</v>
      </c>
      <c r="V15" s="6">
        <f>IF(AND(E15&gt;0,'Entradas'!E13="HOT",'Entradas'!H13&lt;=(I15+J15)/2,'Entradas'!I13&gt;=(I15+J15)/2),'Entradas'!B13/G15,0)</f>
        <v>0.0</v>
      </c>
      <c r="W15" s="6">
        <f>IF(AND(E15&gt;0,'Entradas'!E14="HOT",'Entradas'!H14&lt;=(I15+J15)/2,'Entradas'!I14&gt;=(I15+J15)/2),'Entradas'!B14/G15,0)</f>
        <v>0.0</v>
      </c>
      <c r="X15" s="6">
        <f>IF(AND(F15&gt;0,'Entradas'!E11="COLD",'Entradas'!H11&lt;=(K15+L15)/2,'Entradas'!I11&gt;=(K15+L15)/2),'Entradas'!B11/H15,0)</f>
        <v>0.0</v>
      </c>
      <c r="Y15" s="6">
        <f>IF(AND(F15&gt;0,'Entradas'!E12="COLD",'Entradas'!H12&lt;=(K15+L15)/2,'Entradas'!I12&gt;=(K15+L15)/2),'Entradas'!B12/H15,0)</f>
        <v>0.0</v>
      </c>
      <c r="Z15" s="6">
        <f>IF(AND(F15&gt;0,'Entradas'!E13="COLD",'Entradas'!H13&lt;=(K15+L15)/2,'Entradas'!I13&gt;=(K15+L15)/2),'Entradas'!B13/H15,0)</f>
        <v>0.0</v>
      </c>
      <c r="AA15" s="6">
        <f>IF(AND(F15&gt;0,'Entradas'!E14="COLD",'Entradas'!H14&lt;=(K15+L15)/2,'Entradas'!I14&gt;=(K15+L15)/2),'Entradas'!B14/H15,0)</f>
        <v>1.0</v>
      </c>
    </row>
    <row r="16" spans="1:27" ht="21" customHeight="1">
      <c r="A16" s="1">
        <f>'Compuestas'!J8</f>
        <v>360000.0</v>
      </c>
      <c r="B16" s="1">
        <f>SMALL($A$4:$A$19,13)</f>
        <v>530000.0</v>
      </c>
      <c r="C16" s="1">
        <f>B17-B16</f>
        <v>70000.0</v>
      </c>
      <c r="D16" s="1">
        <f>(B16+B17)/2</f>
        <v>565000.0</v>
      </c>
      <c r="E16" s="1">
        <f>IF(C16&lt;='Resumen'!$B$14,0,SUMPRODUCT(--('Compuestas'!$H$4:$H$10&lt;=D16),--('Compuestas'!$H$5:$H$11&gt;D16),'Compuestas'!$O$4:$O$10))</f>
        <v>0</v>
      </c>
      <c r="F16" s="1">
        <f>IF(C16&lt;='Resumen'!$B$14,0,SUMPRODUCT(--('Compuestas'!$J$4:$J$10&lt;=D16),--('Compuestas'!$J$5:$J$11&gt;D16),'Compuestas'!$O$4:$O$10))</f>
        <v>5</v>
      </c>
      <c r="G16" s="1">
        <f>IF(E16&gt;0,INDEX('Compuestas'!$D$4:$D$10,E16),0)</f>
        <v>0</v>
      </c>
      <c r="H16" s="1">
        <f>IF(F16&gt;0,INDEX('Compuestas'!$E$4:$E$10,F16),0)</f>
        <v>6000.0</v>
      </c>
      <c r="I16" s="1">
        <f>IF(E16&gt;0,INDEX('Compuestas'!$B$4:$B$10,E16)+(B16-INDEX('Compuestas'!$H$4:$H$10,E16))/G16,0)</f>
        <v>0</v>
      </c>
      <c r="J16" s="1">
        <f>IF(E16&gt;0,INDEX('Compuestas'!$B$4:$B$10,E16)+(B17-INDEX('Compuestas'!$H$4:$H$10,E16))/G16,0)</f>
        <v>0</v>
      </c>
      <c r="K16" s="1">
        <f>IF(F16&gt;0,INDEX('Compuestas'!$B$4:$B$10,F16)+(B16-INDEX('Compuestas'!$J$4:$J$10,F16))/H16,0)</f>
        <v>178.33333333333334</v>
      </c>
      <c r="L16" s="1">
        <f>IF(F16&gt;0,INDEX('Compuestas'!$B$4:$B$10,F16)+(B17-INDEX('Compuestas'!$J$4:$J$10,F16))/H16,0)</f>
        <v>190.0</v>
      </c>
      <c r="M16" s="1">
        <f>IF(AND(E16&gt;0,F16&gt;0),C16,0)</f>
        <v>0.0</v>
      </c>
      <c r="N16" s="1">
        <f>IF(AND(E16&gt;0,F16=0),C16,0)</f>
        <v>0.0</v>
      </c>
      <c r="O16" s="1">
        <f>IF(AND(E16=0,F16&gt;0),C16,0)</f>
        <v>70000.0</v>
      </c>
      <c r="P16" s="1">
        <f>IF(M16&gt;0,J16-L16,0)</f>
        <v>0</v>
      </c>
      <c r="Q16" s="1">
        <f>IF(M16&gt;0,I16-K16,0)</f>
        <v>0</v>
      </c>
      <c r="R16" s="1">
        <f>IF(M16=0,0,IF(MIN(P16,Q16)&lt;=0,0,IF(ABS(P16-Q16)&lt;0.00000001,(P16+Q16)/2,(P16-Q16)/LN(P16/Q16))))</f>
        <v>0</v>
      </c>
      <c r="S16" s="1">
        <f>IF(M16=0,0,IF('Entradas'!$B$5=0,"sin U",IF(R16=0,"infinita",M16/('Entradas'!$B$5*R16))))</f>
        <v>0</v>
      </c>
      <c r="T16" s="6">
        <f>IF(AND(E16&gt;0,'Entradas'!E11="HOT",'Entradas'!H11&lt;=(I16+J16)/2,'Entradas'!I11&gt;=(I16+J16)/2),'Entradas'!B11/G16,0)</f>
        <v>0.0</v>
      </c>
      <c r="U16" s="6">
        <f>IF(AND(E16&gt;0,'Entradas'!E12="HOT",'Entradas'!H12&lt;=(I16+J16)/2,'Entradas'!I12&gt;=(I16+J16)/2),'Entradas'!B12/G16,0)</f>
        <v>0.0</v>
      </c>
      <c r="V16" s="6">
        <f>IF(AND(E16&gt;0,'Entradas'!E13="HOT",'Entradas'!H13&lt;=(I16+J16)/2,'Entradas'!I13&gt;=(I16+J16)/2),'Entradas'!B13/G16,0)</f>
        <v>0.0</v>
      </c>
      <c r="W16" s="6">
        <f>IF(AND(E16&gt;0,'Entradas'!E14="HOT",'Entradas'!H14&lt;=(I16+J16)/2,'Entradas'!I14&gt;=(I16+J16)/2),'Entradas'!B14/G16,0)</f>
        <v>0.0</v>
      </c>
      <c r="X16" s="6">
        <f>IF(AND(F16&gt;0,'Entradas'!E11="COLD",'Entradas'!H11&lt;=(K16+L16)/2,'Entradas'!I11&gt;=(K16+L16)/2),'Entradas'!B11/H16,0)</f>
        <v>0.0</v>
      </c>
      <c r="Y16" s="6">
        <f>IF(AND(F16&gt;0,'Entradas'!E12="COLD",'Entradas'!H12&lt;=(K16+L16)/2,'Entradas'!I12&gt;=(K16+L16)/2),'Entradas'!B12/H16,0)</f>
        <v>0.0</v>
      </c>
      <c r="Z16" s="6">
        <f>IF(AND(F16&gt;0,'Entradas'!E13="COLD",'Entradas'!H13&lt;=(K16+L16)/2,'Entradas'!I13&gt;=(K16+L16)/2),'Entradas'!B13/H16,0)</f>
        <v>0.0</v>
      </c>
      <c r="AA16" s="6">
        <f>IF(AND(F16&gt;0,'Entradas'!E14="COLD",'Entradas'!H14&lt;=(K16+L16)/2,'Entradas'!I14&gt;=(K16+L16)/2),'Entradas'!B14/H16,0)</f>
        <v>1.0</v>
      </c>
    </row>
    <row r="17" spans="1:27" ht="21" customHeight="1">
      <c r="A17" s="1">
        <f>'Compuestas'!J9</f>
        <v>600000.0</v>
      </c>
      <c r="B17" s="1">
        <f>SMALL($A$4:$A$19,14)</f>
        <v>600000.0</v>
      </c>
      <c r="C17" s="1">
        <f>B18-B17</f>
        <v>0.0</v>
      </c>
      <c r="D17" s="1">
        <f>(B17+B18)/2</f>
        <v>600000.0</v>
      </c>
      <c r="E17" s="1">
        <f>IF(C17&lt;='Resumen'!$B$14,0,SUMPRODUCT(--('Compuestas'!$H$4:$H$10&lt;=D17),--('Compuestas'!$H$5:$H$11&gt;D17),'Compuestas'!$O$4:$O$10))</f>
        <v>0</v>
      </c>
      <c r="F17" s="1">
        <f>IF(C17&lt;='Resumen'!$B$14,0,SUMPRODUCT(--('Compuestas'!$J$4:$J$10&lt;=D17),--('Compuestas'!$J$5:$J$11&gt;D17),'Compuestas'!$O$4:$O$10))</f>
        <v>0</v>
      </c>
      <c r="G17" s="1">
        <f>IF(E17&gt;0,INDEX('Compuestas'!$D$4:$D$10,E17),0)</f>
        <v>0</v>
      </c>
      <c r="H17" s="1">
        <f>IF(F17&gt;0,INDEX('Compuestas'!$E$4:$E$10,F17),0)</f>
        <v>0</v>
      </c>
      <c r="I17" s="1">
        <f>IF(E17&gt;0,INDEX('Compuestas'!$B$4:$B$10,E17)+(B17-INDEX('Compuestas'!$H$4:$H$10,E17))/G17,0)</f>
        <v>0</v>
      </c>
      <c r="J17" s="1">
        <f>IF(E17&gt;0,INDEX('Compuestas'!$B$4:$B$10,E17)+(B18-INDEX('Compuestas'!$H$4:$H$10,E17))/G17,0)</f>
        <v>0</v>
      </c>
      <c r="K17" s="1">
        <f>IF(F17&gt;0,INDEX('Compuestas'!$B$4:$B$10,F17)+(B17-INDEX('Compuestas'!$J$4:$J$10,F17))/H17,0)</f>
        <v>0</v>
      </c>
      <c r="L17" s="1">
        <f>IF(F17&gt;0,INDEX('Compuestas'!$B$4:$B$10,F17)+(B18-INDEX('Compuestas'!$J$4:$J$10,F17))/H17,0)</f>
        <v>0</v>
      </c>
      <c r="M17" s="1">
        <f>IF(AND(E17&gt;0,F17&gt;0),C17,0)</f>
        <v>0.0</v>
      </c>
      <c r="N17" s="1">
        <f>IF(AND(E17&gt;0,F17=0),C17,0)</f>
        <v>0.0</v>
      </c>
      <c r="O17" s="1">
        <f>IF(AND(E17=0,F17&gt;0),C17,0)</f>
        <v>0.0</v>
      </c>
      <c r="P17" s="1">
        <f>IF(M17&gt;0,J17-L17,0)</f>
        <v>0</v>
      </c>
      <c r="Q17" s="1">
        <f>IF(M17&gt;0,I17-K17,0)</f>
        <v>0</v>
      </c>
      <c r="R17" s="1">
        <f>IF(M17=0,0,IF(MIN(P17,Q17)&lt;=0,0,IF(ABS(P17-Q17)&lt;0.00000001,(P17+Q17)/2,(P17-Q17)/LN(P17/Q17))))</f>
        <v>0</v>
      </c>
      <c r="S17" s="1">
        <f>IF(M17=0,0,IF('Entradas'!$B$5=0,"sin U",IF(R17=0,"infinita",M17/('Entradas'!$B$5*R17))))</f>
        <v>0</v>
      </c>
      <c r="T17" s="6">
        <f>IF(AND(E17&gt;0,'Entradas'!E11="HOT",'Entradas'!H11&lt;=(I17+J17)/2,'Entradas'!I11&gt;=(I17+J17)/2),'Entradas'!B11/G17,0)</f>
        <v>0.0</v>
      </c>
      <c r="U17" s="6">
        <f>IF(AND(E17&gt;0,'Entradas'!E12="HOT",'Entradas'!H12&lt;=(I17+J17)/2,'Entradas'!I12&gt;=(I17+J17)/2),'Entradas'!B12/G17,0)</f>
        <v>0.0</v>
      </c>
      <c r="V17" s="6">
        <f>IF(AND(E17&gt;0,'Entradas'!E13="HOT",'Entradas'!H13&lt;=(I17+J17)/2,'Entradas'!I13&gt;=(I17+J17)/2),'Entradas'!B13/G17,0)</f>
        <v>0.0</v>
      </c>
      <c r="W17" s="6">
        <f>IF(AND(E17&gt;0,'Entradas'!E14="HOT",'Entradas'!H14&lt;=(I17+J17)/2,'Entradas'!I14&gt;=(I17+J17)/2),'Entradas'!B14/G17,0)</f>
        <v>0.0</v>
      </c>
      <c r="X17" s="6">
        <f>IF(AND(F17&gt;0,'Entradas'!E11="COLD",'Entradas'!H11&lt;=(K17+L17)/2,'Entradas'!I11&gt;=(K17+L17)/2),'Entradas'!B11/H17,0)</f>
        <v>0.0</v>
      </c>
      <c r="Y17" s="6">
        <f>IF(AND(F17&gt;0,'Entradas'!E12="COLD",'Entradas'!H12&lt;=(K17+L17)/2,'Entradas'!I12&gt;=(K17+L17)/2),'Entradas'!B12/H17,0)</f>
        <v>0.0</v>
      </c>
      <c r="Z17" s="6">
        <f>IF(AND(F17&gt;0,'Entradas'!E13="COLD",'Entradas'!H13&lt;=(K17+L17)/2,'Entradas'!I13&gt;=(K17+L17)/2),'Entradas'!B13/H17,0)</f>
        <v>0.0</v>
      </c>
      <c r="AA17" s="6">
        <f>IF(AND(F17&gt;0,'Entradas'!E14="COLD",'Entradas'!H14&lt;=(K17+L17)/2,'Entradas'!I14&gt;=(K17+L17)/2),'Entradas'!B14/H17,0)</f>
        <v>0.0</v>
      </c>
    </row>
    <row r="18" spans="1:27" ht="21" customHeight="1">
      <c r="A18" s="1">
        <f>'Compuestas'!J10</f>
        <v>600000.0</v>
      </c>
      <c r="B18" s="1">
        <f>SMALL($A$4:$A$19,15)</f>
        <v>600000.0</v>
      </c>
      <c r="C18" s="1">
        <f>B19-B18</f>
        <v>0.0</v>
      </c>
      <c r="D18" s="1">
        <f>(B18+B19)/2</f>
        <v>600000.0</v>
      </c>
      <c r="E18" s="1">
        <f>IF(C18&lt;='Resumen'!$B$14,0,SUMPRODUCT(--('Compuestas'!$H$4:$H$10&lt;=D18),--('Compuestas'!$H$5:$H$11&gt;D18),'Compuestas'!$O$4:$O$10))</f>
        <v>0</v>
      </c>
      <c r="F18" s="1">
        <f>IF(C18&lt;='Resumen'!$B$14,0,SUMPRODUCT(--('Compuestas'!$J$4:$J$10&lt;=D18),--('Compuestas'!$J$5:$J$11&gt;D18),'Compuestas'!$O$4:$O$10))</f>
        <v>0</v>
      </c>
      <c r="G18" s="1">
        <f>IF(E18&gt;0,INDEX('Compuestas'!$D$4:$D$10,E18),0)</f>
        <v>0</v>
      </c>
      <c r="H18" s="1">
        <f>IF(F18&gt;0,INDEX('Compuestas'!$E$4:$E$10,F18),0)</f>
        <v>0</v>
      </c>
      <c r="I18" s="1">
        <f>IF(E18&gt;0,INDEX('Compuestas'!$B$4:$B$10,E18)+(B18-INDEX('Compuestas'!$H$4:$H$10,E18))/G18,0)</f>
        <v>0</v>
      </c>
      <c r="J18" s="1">
        <f>IF(E18&gt;0,INDEX('Compuestas'!$B$4:$B$10,E18)+(B19-INDEX('Compuestas'!$H$4:$H$10,E18))/G18,0)</f>
        <v>0</v>
      </c>
      <c r="K18" s="1">
        <f>IF(F18&gt;0,INDEX('Compuestas'!$B$4:$B$10,F18)+(B18-INDEX('Compuestas'!$J$4:$J$10,F18))/H18,0)</f>
        <v>0</v>
      </c>
      <c r="L18" s="1">
        <f>IF(F18&gt;0,INDEX('Compuestas'!$B$4:$B$10,F18)+(B19-INDEX('Compuestas'!$J$4:$J$10,F18))/H18,0)</f>
        <v>0</v>
      </c>
      <c r="M18" s="1">
        <f>IF(AND(E18&gt;0,F18&gt;0),C18,0)</f>
        <v>0.0</v>
      </c>
      <c r="N18" s="1">
        <f>IF(AND(E18&gt;0,F18=0),C18,0)</f>
        <v>0.0</v>
      </c>
      <c r="O18" s="1">
        <f>IF(AND(E18=0,F18&gt;0),C18,0)</f>
        <v>0.0</v>
      </c>
      <c r="P18" s="1">
        <f>IF(M18&gt;0,J18-L18,0)</f>
        <v>0</v>
      </c>
      <c r="Q18" s="1">
        <f>IF(M18&gt;0,I18-K18,0)</f>
        <v>0</v>
      </c>
      <c r="R18" s="1">
        <f>IF(M18=0,0,IF(MIN(P18,Q18)&lt;=0,0,IF(ABS(P18-Q18)&lt;0.00000001,(P18+Q18)/2,(P18-Q18)/LN(P18/Q18))))</f>
        <v>0</v>
      </c>
      <c r="S18" s="1">
        <f>IF(M18=0,0,IF('Entradas'!$B$5=0,"sin U",IF(R18=0,"infinita",M18/('Entradas'!$B$5*R18))))</f>
        <v>0</v>
      </c>
      <c r="T18" s="6">
        <f>IF(AND(E18&gt;0,'Entradas'!E11="HOT",'Entradas'!H11&lt;=(I18+J18)/2,'Entradas'!I11&gt;=(I18+J18)/2),'Entradas'!B11/G18,0)</f>
        <v>0.0</v>
      </c>
      <c r="U18" s="6">
        <f>IF(AND(E18&gt;0,'Entradas'!E12="HOT",'Entradas'!H12&lt;=(I18+J18)/2,'Entradas'!I12&gt;=(I18+J18)/2),'Entradas'!B12/G18,0)</f>
        <v>0.0</v>
      </c>
      <c r="V18" s="6">
        <f>IF(AND(E18&gt;0,'Entradas'!E13="HOT",'Entradas'!H13&lt;=(I18+J18)/2,'Entradas'!I13&gt;=(I18+J18)/2),'Entradas'!B13/G18,0)</f>
        <v>0.0</v>
      </c>
      <c r="W18" s="6">
        <f>IF(AND(E18&gt;0,'Entradas'!E14="HOT",'Entradas'!H14&lt;=(I18+J18)/2,'Entradas'!I14&gt;=(I18+J18)/2),'Entradas'!B14/G18,0)</f>
        <v>0.0</v>
      </c>
      <c r="X18" s="6">
        <f>IF(AND(F18&gt;0,'Entradas'!E11="COLD",'Entradas'!H11&lt;=(K18+L18)/2,'Entradas'!I11&gt;=(K18+L18)/2),'Entradas'!B11/H18,0)</f>
        <v>0.0</v>
      </c>
      <c r="Y18" s="6">
        <f>IF(AND(F18&gt;0,'Entradas'!E12="COLD",'Entradas'!H12&lt;=(K18+L18)/2,'Entradas'!I12&gt;=(K18+L18)/2),'Entradas'!B12/H18,0)</f>
        <v>0.0</v>
      </c>
      <c r="Z18" s="6">
        <f>IF(AND(F18&gt;0,'Entradas'!E13="COLD",'Entradas'!H13&lt;=(K18+L18)/2,'Entradas'!I13&gt;=(K18+L18)/2),'Entradas'!B13/H18,0)</f>
        <v>0.0</v>
      </c>
      <c r="AA18" s="6">
        <f>IF(AND(F18&gt;0,'Entradas'!E14="COLD",'Entradas'!H14&lt;=(K18+L18)/2,'Entradas'!I14&gt;=(K18+L18)/2),'Entradas'!B14/H18,0)</f>
        <v>0.0</v>
      </c>
    </row>
    <row r="19" spans="1:27" ht="21" customHeight="1">
      <c r="A19" s="1">
        <f>'Compuestas'!J11</f>
        <v>600000.0</v>
      </c>
      <c r="B19" s="1">
        <f>SMALL($A$4:$A$19,16)</f>
        <v>600000.0</v>
      </c>
    </row>
  </sheetData>
  <autoFilter ref="A3:AA18"/>
  <mergeCells count="2">
    <mergeCell ref="A1:J1"/>
    <mergeCell ref="A2:J2"/>
  </mergeCells>
  <pageMargins left="0.3" right="0.3" top="0.4" bottom="0.4" header="0.3" footer="0.3"/>
  <pageSetup paperSize="9" fitToHeight="0" orientation="landscape"/>
  <headerFooter>
    <oddFooter>&amp;LPinch Lab&amp;RPágina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A8B8CA"/>
    <pageSetUpPr fitToPage="1"/>
  </sheetPr>
  <dimension ref="A1:AE121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1" customHeight="1"/>
  <cols>
    <col min="1" max="31" width="15.7109375" style="1" customWidth="1"/>
  </cols>
  <sheetData>
    <row r="1" spans="1:10" ht="35" customHeight="1">
      <c r="A1" s="2" t="s">
        <v>283</v>
      </c>
      <c r="B1" s="2"/>
      <c r="C1" s="2"/>
      <c r="D1" s="2"/>
      <c r="E1" s="2"/>
      <c r="F1" s="2"/>
      <c r="G1" s="2"/>
      <c r="H1" s="2"/>
      <c r="I1" s="2"/>
      <c r="J1" s="2"/>
    </row>
    <row r="2" spans="1:10" ht="33" customHeight="1">
      <c r="A2" s="3" t="s">
        <v>284</v>
      </c>
      <c r="B2" s="3"/>
      <c r="C2" s="3"/>
      <c r="D2" s="3"/>
      <c r="E2" s="3"/>
      <c r="F2" s="3"/>
      <c r="G2" s="3"/>
      <c r="H2" s="3"/>
      <c r="I2" s="3"/>
      <c r="J2" s="3"/>
    </row>
    <row r="3" spans="1:10" ht="36" customHeight="1">
      <c r="A3" s="7" t="s">
        <v>2</v>
      </c>
      <c r="B3" s="7" t="s">
        <v>285</v>
      </c>
      <c r="C3" s="7" t="s">
        <v>286</v>
      </c>
      <c r="D3" s="7" t="s">
        <v>287</v>
      </c>
    </row>
    <row r="4" spans="1:10" ht="21" customHeight="1">
      <c r="A4" s="8">
        <v>0</v>
      </c>
      <c r="B4" s="1">
        <f>MAX(0,-MIN(H18:H25))</f>
        <v>20000.0</v>
      </c>
      <c r="C4" s="1">
        <f>H25+B4</f>
        <v>10000.0</v>
      </c>
      <c r="D4" s="1">
        <f>'Resumen'!$B$5-C4</f>
        <v>520000.0</v>
      </c>
    </row>
    <row r="5" spans="1:10" ht="21" customHeight="1">
      <c r="A5" s="8">
        <v>5</v>
      </c>
      <c r="B5" s="1">
        <f>MAX(0,-MIN(H30:H37))</f>
        <v>45000.0</v>
      </c>
      <c r="C5" s="1">
        <f>H37+B5</f>
        <v>35000.0</v>
      </c>
      <c r="D5" s="1">
        <f>'Resumen'!$B$5-C5</f>
        <v>495000.0</v>
      </c>
    </row>
    <row r="6" spans="1:10" ht="21" customHeight="1">
      <c r="A6" s="8">
        <v>10</v>
      </c>
      <c r="B6" s="1">
        <f>MAX(0,-MIN(H42:H49))</f>
        <v>70000.0</v>
      </c>
      <c r="C6" s="1">
        <f>H49+B6</f>
        <v>60000.0</v>
      </c>
      <c r="D6" s="1">
        <f>'Resumen'!$B$5-C6</f>
        <v>470000.0</v>
      </c>
    </row>
    <row r="7" spans="1:10" ht="21" customHeight="1">
      <c r="A7" s="8">
        <v>15</v>
      </c>
      <c r="B7" s="1">
        <f>MAX(0,-MIN(H54:H61))</f>
        <v>95000.0</v>
      </c>
      <c r="C7" s="1">
        <f>H61+B7</f>
        <v>85000.0</v>
      </c>
      <c r="D7" s="1">
        <f>'Resumen'!$B$5-C7</f>
        <v>445000.0</v>
      </c>
    </row>
    <row r="8" spans="1:10" ht="21" customHeight="1">
      <c r="A8" s="8">
        <v>20</v>
      </c>
      <c r="B8" s="1">
        <f>MAX(0,-MIN(H66:H73))</f>
        <v>120000.0</v>
      </c>
      <c r="C8" s="1">
        <f>H73+B8</f>
        <v>110000.0</v>
      </c>
      <c r="D8" s="1">
        <f>'Resumen'!$B$5-C8</f>
        <v>420000.0</v>
      </c>
    </row>
    <row r="9" spans="1:10" ht="21" customHeight="1">
      <c r="A9" s="8">
        <v>25</v>
      </c>
      <c r="B9" s="1">
        <f>MAX(0,-MIN(H78:H85))</f>
        <v>145000.0</v>
      </c>
      <c r="C9" s="1">
        <f>H85+B9</f>
        <v>135000.0</v>
      </c>
      <c r="D9" s="1">
        <f>'Resumen'!$B$5-C9</f>
        <v>395000.0</v>
      </c>
    </row>
    <row r="10" spans="1:10" ht="21" customHeight="1">
      <c r="A10" s="8">
        <v>30</v>
      </c>
      <c r="B10" s="1">
        <f>MAX(0,-MIN(H90:H97))</f>
        <v>170000.0</v>
      </c>
      <c r="C10" s="1">
        <f>H97+B10</f>
        <v>160000.0</v>
      </c>
      <c r="D10" s="1">
        <f>'Resumen'!$B$5-C10</f>
        <v>370000.0</v>
      </c>
    </row>
    <row r="11" spans="1:10" ht="21" customHeight="1">
      <c r="A11" s="8">
        <v>35</v>
      </c>
      <c r="B11" s="1">
        <f>MAX(0,-MIN(H102:H109))</f>
        <v>195000.0</v>
      </c>
      <c r="C11" s="1">
        <f>H109+B11</f>
        <v>185000.0</v>
      </c>
      <c r="D11" s="1">
        <f>'Resumen'!$B$5-C11</f>
        <v>345000.0</v>
      </c>
    </row>
    <row r="12" spans="1:10" ht="21" customHeight="1">
      <c r="A12" s="8">
        <v>40</v>
      </c>
      <c r="B12" s="1">
        <f>MAX(0,-MIN(H114:H121))</f>
        <v>220000.0</v>
      </c>
      <c r="C12" s="1">
        <f>H121+B12</f>
        <v>210000.0</v>
      </c>
      <c r="D12" s="1">
        <f>'Resumen'!$B$5-C12</f>
        <v>320000.0</v>
      </c>
    </row>
    <row r="16" spans="1:10" ht="21" customHeight="1">
      <c r="A16" s="7" t="s">
        <v>288</v>
      </c>
      <c r="B16" s="7"/>
      <c r="C16" s="7"/>
      <c r="D16" s="7"/>
      <c r="E16" s="7"/>
      <c r="F16" s="7"/>
      <c r="G16" s="7"/>
      <c r="H16" s="7"/>
    </row>
    <row r="17" spans="1:8" ht="36" customHeight="1">
      <c r="A17" s="7" t="s">
        <v>23</v>
      </c>
      <c r="B17" s="7" t="s">
        <v>289</v>
      </c>
      <c r="C17" s="7" t="s">
        <v>25</v>
      </c>
      <c r="D17" s="7" t="s">
        <v>59</v>
      </c>
      <c r="E17" s="7" t="s">
        <v>60</v>
      </c>
      <c r="F17" s="7" t="s">
        <v>28</v>
      </c>
      <c r="G17" s="7" t="s">
        <v>290</v>
      </c>
      <c r="H17" s="7" t="s">
        <v>30</v>
      </c>
    </row>
    <row r="18" spans="1:8" ht="21" customHeight="1">
      <c r="A18" s="1">
        <f>'Entradas'!H11+IF('Entradas'!E11="HOT",-$A$4/2,$A$4/2)</f>
        <v>120.0</v>
      </c>
      <c r="B18" s="1">
        <f>LARGE($A$18:$A$25,1)</f>
        <v>250.0</v>
      </c>
      <c r="C18" s="1">
        <f>B18-B19</f>
        <v>50.0</v>
      </c>
      <c r="D18" s="1">
        <f>SUMPRODUCT(--('Entradas'!$E$11:$E$14="HOT"),--('Entradas'!$H$11:$H$14-$A$4/2&lt;=(B18+B19)/2),--('Entradas'!$I$11:$I$14-$A$4/2&gt;=(B18+B19)/2),'Entradas'!$B$11:$B$14)</f>
        <v>1000.0</v>
      </c>
      <c r="E18" s="1">
        <f>SUMPRODUCT(--('Entradas'!$E$11:$E$14="COLD"),--('Entradas'!$H$11:$H$14+$A$4/2&lt;=(B18+B19)/2),--('Entradas'!$I$11:$I$14+$A$4/2&gt;=(B18+B19)/2),'Entradas'!$B$11:$B$14)</f>
        <v>0.0</v>
      </c>
      <c r="F18" s="1">
        <f>D18-E18</f>
        <v>1000.0</v>
      </c>
      <c r="G18" s="1">
        <f>C18*F18</f>
        <v>50000.0</v>
      </c>
      <c r="H18" s="1">
        <f>0</f>
        <v>0.0</v>
      </c>
    </row>
    <row r="19" spans="1:8" ht="21" customHeight="1">
      <c r="A19" s="1">
        <f>'Entradas'!I11+IF('Entradas'!E11="HOT",-$A$4/2,$A$4/2)</f>
        <v>250.0</v>
      </c>
      <c r="B19" s="1">
        <f>LARGE($A$18:$A$25,2)</f>
        <v>200.0</v>
      </c>
      <c r="C19" s="1">
        <f>B19-B20</f>
        <v>10.0</v>
      </c>
      <c r="D19" s="1">
        <f>SUMPRODUCT(--('Entradas'!$E$11:$E$14="HOT"),--('Entradas'!$H$11:$H$14-$A$4/2&lt;=(B19+B20)/2),--('Entradas'!$I$11:$I$14-$A$4/2&gt;=(B19+B20)/2),'Entradas'!$B$11:$B$14)</f>
        <v>5000.0</v>
      </c>
      <c r="E19" s="1">
        <f>SUMPRODUCT(--('Entradas'!$E$11:$E$14="COLD"),--('Entradas'!$H$11:$H$14+$A$4/2&lt;=(B19+B20)/2),--('Entradas'!$I$11:$I$14+$A$4/2&gt;=(B19+B20)/2),'Entradas'!$B$11:$B$14)</f>
        <v>0.0</v>
      </c>
      <c r="F19" s="1">
        <f>D19-E19</f>
        <v>5000.0</v>
      </c>
      <c r="G19" s="1">
        <f>C19*F19</f>
        <v>50000.0</v>
      </c>
      <c r="H19" s="1">
        <f>H18+G18</f>
        <v>50000.0</v>
      </c>
    </row>
    <row r="20" spans="1:8" ht="21" customHeight="1">
      <c r="A20" s="1">
        <f>'Entradas'!H12+IF('Entradas'!E12="HOT",-$A$4/2,$A$4/2)</f>
        <v>100.0</v>
      </c>
      <c r="B20" s="1">
        <f>LARGE($A$18:$A$25,3)</f>
        <v>190.0</v>
      </c>
      <c r="C20" s="1">
        <f>B20-B21</f>
        <v>40.0</v>
      </c>
      <c r="D20" s="1">
        <f>SUMPRODUCT(--('Entradas'!$E$11:$E$14="HOT"),--('Entradas'!$H$11:$H$14-$A$4/2&lt;=(B20+B21)/2),--('Entradas'!$I$11:$I$14-$A$4/2&gt;=(B20+B21)/2),'Entradas'!$B$11:$B$14)</f>
        <v>5000.0</v>
      </c>
      <c r="E20" s="1">
        <f>SUMPRODUCT(--('Entradas'!$E$11:$E$14="COLD"),--('Entradas'!$H$11:$H$14+$A$4/2&lt;=(B20+B21)/2),--('Entradas'!$I$11:$I$14+$A$4/2&gt;=(B20+B21)/2),'Entradas'!$B$11:$B$14)</f>
        <v>6000.0</v>
      </c>
      <c r="F20" s="1">
        <f>D20-E20</f>
        <v>-1000.0</v>
      </c>
      <c r="G20" s="1">
        <f>C20*F20</f>
        <v>-40000.0</v>
      </c>
      <c r="H20" s="1">
        <f>H19+G19</f>
        <v>100000.0</v>
      </c>
    </row>
    <row r="21" spans="1:8" ht="21" customHeight="1">
      <c r="A21" s="1">
        <f>'Entradas'!I12+IF('Entradas'!E12="HOT",-$A$4/2,$A$4/2)</f>
        <v>200.0</v>
      </c>
      <c r="B21" s="1">
        <f>LARGE($A$18:$A$25,4)</f>
        <v>150.0</v>
      </c>
      <c r="C21" s="1">
        <f>B21-B22</f>
        <v>20.0</v>
      </c>
      <c r="D21" s="1">
        <f>SUMPRODUCT(--('Entradas'!$E$11:$E$14="HOT"),--('Entradas'!$H$11:$H$14-$A$4/2&lt;=(B21+B22)/2),--('Entradas'!$I$11:$I$14-$A$4/2&gt;=(B21+B22)/2),'Entradas'!$B$11:$B$14)</f>
        <v>5000.0</v>
      </c>
      <c r="E21" s="1">
        <f>SUMPRODUCT(--('Entradas'!$E$11:$E$14="COLD"),--('Entradas'!$H$11:$H$14+$A$4/2&lt;=(B21+B22)/2),--('Entradas'!$I$11:$I$14+$A$4/2&gt;=(B21+B22)/2),'Entradas'!$B$11:$B$14)</f>
        <v>9000.0</v>
      </c>
      <c r="F21" s="1">
        <f>D21-E21</f>
        <v>-4000.0</v>
      </c>
      <c r="G21" s="1">
        <f>C21*F21</f>
        <v>-80000.0</v>
      </c>
      <c r="H21" s="1">
        <f>H20+G20</f>
        <v>60000.0</v>
      </c>
    </row>
    <row r="22" spans="1:8" ht="21" customHeight="1">
      <c r="A22" s="1">
        <f>'Entradas'!H13+IF('Entradas'!E13="HOT",-$A$4/2,$A$4/2)</f>
        <v>90.0</v>
      </c>
      <c r="B22" s="1">
        <f>LARGE($A$18:$A$25,5)</f>
        <v>130.0</v>
      </c>
      <c r="C22" s="1">
        <f>B22-B23</f>
        <v>10.0</v>
      </c>
      <c r="D22" s="1">
        <f>SUMPRODUCT(--('Entradas'!$E$11:$E$14="HOT"),--('Entradas'!$H$11:$H$14-$A$4/2&lt;=(B22+B23)/2),--('Entradas'!$I$11:$I$14-$A$4/2&gt;=(B22+B23)/2),'Entradas'!$B$11:$B$14)</f>
        <v>5000.0</v>
      </c>
      <c r="E22" s="1">
        <f>SUMPRODUCT(--('Entradas'!$E$11:$E$14="COLD"),--('Entradas'!$H$11:$H$14+$A$4/2&lt;=(B22+B23)/2),--('Entradas'!$I$11:$I$14+$A$4/2&gt;=(B22+B23)/2),'Entradas'!$B$11:$B$14)</f>
        <v>3000.0</v>
      </c>
      <c r="F22" s="1">
        <f>D22-E22</f>
        <v>2000.0</v>
      </c>
      <c r="G22" s="1">
        <f>C22*F22</f>
        <v>20000.0</v>
      </c>
      <c r="H22" s="1">
        <f>H21+G21</f>
        <v>-20000.0</v>
      </c>
    </row>
    <row r="23" spans="1:8" ht="21" customHeight="1">
      <c r="A23" s="1">
        <f>'Entradas'!I13+IF('Entradas'!E13="HOT",-$A$4/2,$A$4/2)</f>
        <v>150.0</v>
      </c>
      <c r="B23" s="1">
        <f>LARGE($A$18:$A$25,6)</f>
        <v>120.0</v>
      </c>
      <c r="C23" s="1">
        <f>B23-B24</f>
        <v>20.0</v>
      </c>
      <c r="D23" s="1">
        <f>SUMPRODUCT(--('Entradas'!$E$11:$E$14="HOT"),--('Entradas'!$H$11:$H$14-$A$4/2&lt;=(B23+B24)/2),--('Entradas'!$I$11:$I$14-$A$4/2&gt;=(B23+B24)/2),'Entradas'!$B$11:$B$14)</f>
        <v>4000.0</v>
      </c>
      <c r="E23" s="1">
        <f>SUMPRODUCT(--('Entradas'!$E$11:$E$14="COLD"),--('Entradas'!$H$11:$H$14+$A$4/2&lt;=(B23+B24)/2),--('Entradas'!$I$11:$I$14+$A$4/2&gt;=(B23+B24)/2),'Entradas'!$B$11:$B$14)</f>
        <v>3000.0</v>
      </c>
      <c r="F23" s="1">
        <f>D23-E23</f>
        <v>1000.0</v>
      </c>
      <c r="G23" s="1">
        <f>C23*F23</f>
        <v>20000.0</v>
      </c>
      <c r="H23" s="1">
        <f>H22+G22</f>
        <v>0.0</v>
      </c>
    </row>
    <row r="24" spans="1:8" ht="21" customHeight="1">
      <c r="A24" s="1">
        <f>'Entradas'!H14+IF('Entradas'!E14="HOT",-$A$4/2,$A$4/2)</f>
        <v>130.0</v>
      </c>
      <c r="B24" s="1">
        <f>LARGE($A$18:$A$25,7)</f>
        <v>100.0</v>
      </c>
      <c r="C24" s="1">
        <f>B24-B25</f>
        <v>10.0</v>
      </c>
      <c r="D24" s="1">
        <f>SUMPRODUCT(--('Entradas'!$E$11:$E$14="HOT"),--('Entradas'!$H$11:$H$14-$A$4/2&lt;=(B24+B25)/2),--('Entradas'!$I$11:$I$14-$A$4/2&gt;=(B24+B25)/2),'Entradas'!$B$11:$B$14)</f>
        <v>0.0</v>
      </c>
      <c r="E24" s="1">
        <f>SUMPRODUCT(--('Entradas'!$E$11:$E$14="COLD"),--('Entradas'!$H$11:$H$14+$A$4/2&lt;=(B24+B25)/2),--('Entradas'!$I$11:$I$14+$A$4/2&gt;=(B24+B25)/2),'Entradas'!$B$11:$B$14)</f>
        <v>3000.0</v>
      </c>
      <c r="F24" s="1">
        <f>D24-E24</f>
        <v>-3000.0</v>
      </c>
      <c r="G24" s="1">
        <f>C24*F24</f>
        <v>-30000.0</v>
      </c>
      <c r="H24" s="1">
        <f>H23+G23</f>
        <v>20000.0</v>
      </c>
    </row>
    <row r="25" spans="1:8" ht="21" customHeight="1">
      <c r="A25" s="1">
        <f>'Entradas'!I14+IF('Entradas'!E14="HOT",-$A$4/2,$A$4/2)</f>
        <v>190.0</v>
      </c>
      <c r="B25" s="1">
        <f>LARGE($A$18:$A$25,8)</f>
        <v>90.0</v>
      </c>
      <c r="H25" s="1">
        <f>H24+G24</f>
        <v>-10000.0</v>
      </c>
    </row>
    <row r="28" spans="1:8" ht="21" customHeight="1">
      <c r="A28" s="7" t="s">
        <v>291</v>
      </c>
      <c r="B28" s="7"/>
      <c r="C28" s="7"/>
      <c r="D28" s="7"/>
      <c r="E28" s="7"/>
      <c r="F28" s="7"/>
      <c r="G28" s="7"/>
      <c r="H28" s="7"/>
    </row>
    <row r="29" spans="1:8" ht="36" customHeight="1">
      <c r="A29" s="7" t="s">
        <v>23</v>
      </c>
      <c r="B29" s="7" t="s">
        <v>289</v>
      </c>
      <c r="C29" s="7" t="s">
        <v>25</v>
      </c>
      <c r="D29" s="7" t="s">
        <v>59</v>
      </c>
      <c r="E29" s="7" t="s">
        <v>60</v>
      </c>
      <c r="F29" s="7" t="s">
        <v>28</v>
      </c>
      <c r="G29" s="7" t="s">
        <v>290</v>
      </c>
      <c r="H29" s="7" t="s">
        <v>30</v>
      </c>
    </row>
    <row r="30" spans="1:8" ht="21" customHeight="1">
      <c r="A30" s="1">
        <f>'Entradas'!H11+IF('Entradas'!E11="HOT",-$A$5/2,$A$5/2)</f>
        <v>117.5</v>
      </c>
      <c r="B30" s="1">
        <f>LARGE($A$30:$A$37,1)</f>
        <v>247.5</v>
      </c>
      <c r="C30" s="1">
        <f>B30-B31</f>
        <v>50.0</v>
      </c>
      <c r="D30" s="1">
        <f>SUMPRODUCT(--('Entradas'!$E$11:$E$14="HOT"),--('Entradas'!$H$11:$H$14-$A$5/2&lt;=(B30+B31)/2),--('Entradas'!$I$11:$I$14-$A$5/2&gt;=(B30+B31)/2),'Entradas'!$B$11:$B$14)</f>
        <v>1000.0</v>
      </c>
      <c r="E30" s="1">
        <f>SUMPRODUCT(--('Entradas'!$E$11:$E$14="COLD"),--('Entradas'!$H$11:$H$14+$A$5/2&lt;=(B30+B31)/2),--('Entradas'!$I$11:$I$14+$A$5/2&gt;=(B30+B31)/2),'Entradas'!$B$11:$B$14)</f>
        <v>0.0</v>
      </c>
      <c r="F30" s="1">
        <f>D30-E30</f>
        <v>1000.0</v>
      </c>
      <c r="G30" s="1">
        <f>C30*F30</f>
        <v>50000.0</v>
      </c>
      <c r="H30" s="1">
        <f>0</f>
        <v>0.0</v>
      </c>
    </row>
    <row r="31" spans="1:8" ht="21" customHeight="1">
      <c r="A31" s="1">
        <f>'Entradas'!I11+IF('Entradas'!E11="HOT",-$A$5/2,$A$5/2)</f>
        <v>247.5</v>
      </c>
      <c r="B31" s="1">
        <f>LARGE($A$30:$A$37,2)</f>
        <v>197.5</v>
      </c>
      <c r="C31" s="1">
        <f>B31-B32</f>
        <v>5.0</v>
      </c>
      <c r="D31" s="1">
        <f>SUMPRODUCT(--('Entradas'!$E$11:$E$14="HOT"),--('Entradas'!$H$11:$H$14-$A$5/2&lt;=(B31+B32)/2),--('Entradas'!$I$11:$I$14-$A$5/2&gt;=(B31+B32)/2),'Entradas'!$B$11:$B$14)</f>
        <v>5000.0</v>
      </c>
      <c r="E31" s="1">
        <f>SUMPRODUCT(--('Entradas'!$E$11:$E$14="COLD"),--('Entradas'!$H$11:$H$14+$A$5/2&lt;=(B31+B32)/2),--('Entradas'!$I$11:$I$14+$A$5/2&gt;=(B31+B32)/2),'Entradas'!$B$11:$B$14)</f>
        <v>0.0</v>
      </c>
      <c r="F31" s="1">
        <f>D31-E31</f>
        <v>5000.0</v>
      </c>
      <c r="G31" s="1">
        <f>C31*F31</f>
        <v>25000.0</v>
      </c>
      <c r="H31" s="1">
        <f>H30+G30</f>
        <v>50000.0</v>
      </c>
    </row>
    <row r="32" spans="1:8" ht="21" customHeight="1">
      <c r="A32" s="1">
        <f>'Entradas'!H12+IF('Entradas'!E12="HOT",-$A$5/2,$A$5/2)</f>
        <v>97.5</v>
      </c>
      <c r="B32" s="1">
        <f>LARGE($A$30:$A$37,3)</f>
        <v>192.5</v>
      </c>
      <c r="C32" s="1">
        <f>B32-B33</f>
        <v>40.0</v>
      </c>
      <c r="D32" s="1">
        <f>SUMPRODUCT(--('Entradas'!$E$11:$E$14="HOT"),--('Entradas'!$H$11:$H$14-$A$5/2&lt;=(B32+B33)/2),--('Entradas'!$I$11:$I$14-$A$5/2&gt;=(B32+B33)/2),'Entradas'!$B$11:$B$14)</f>
        <v>5000.0</v>
      </c>
      <c r="E32" s="1">
        <f>SUMPRODUCT(--('Entradas'!$E$11:$E$14="COLD"),--('Entradas'!$H$11:$H$14+$A$5/2&lt;=(B32+B33)/2),--('Entradas'!$I$11:$I$14+$A$5/2&gt;=(B32+B33)/2),'Entradas'!$B$11:$B$14)</f>
        <v>6000.0</v>
      </c>
      <c r="F32" s="1">
        <f>D32-E32</f>
        <v>-1000.0</v>
      </c>
      <c r="G32" s="1">
        <f>C32*F32</f>
        <v>-40000.0</v>
      </c>
      <c r="H32" s="1">
        <f>H31+G31</f>
        <v>75000.0</v>
      </c>
    </row>
    <row r="33" spans="1:8" ht="21" customHeight="1">
      <c r="A33" s="1">
        <f>'Entradas'!I12+IF('Entradas'!E12="HOT",-$A$5/2,$A$5/2)</f>
        <v>197.5</v>
      </c>
      <c r="B33" s="1">
        <f>LARGE($A$30:$A$37,4)</f>
        <v>152.5</v>
      </c>
      <c r="C33" s="1">
        <f>B33-B34</f>
        <v>20.0</v>
      </c>
      <c r="D33" s="1">
        <f>SUMPRODUCT(--('Entradas'!$E$11:$E$14="HOT"),--('Entradas'!$H$11:$H$14-$A$5/2&lt;=(B33+B34)/2),--('Entradas'!$I$11:$I$14-$A$5/2&gt;=(B33+B34)/2),'Entradas'!$B$11:$B$14)</f>
        <v>5000.0</v>
      </c>
      <c r="E33" s="1">
        <f>SUMPRODUCT(--('Entradas'!$E$11:$E$14="COLD"),--('Entradas'!$H$11:$H$14+$A$5/2&lt;=(B33+B34)/2),--('Entradas'!$I$11:$I$14+$A$5/2&gt;=(B33+B34)/2),'Entradas'!$B$11:$B$14)</f>
        <v>9000.0</v>
      </c>
      <c r="F33" s="1">
        <f>D33-E33</f>
        <v>-4000.0</v>
      </c>
      <c r="G33" s="1">
        <f>C33*F33</f>
        <v>-80000.0</v>
      </c>
      <c r="H33" s="1">
        <f>H32+G32</f>
        <v>35000.0</v>
      </c>
    </row>
    <row r="34" spans="1:8" ht="21" customHeight="1">
      <c r="A34" s="1">
        <f>'Entradas'!H13+IF('Entradas'!E13="HOT",-$A$5/2,$A$5/2)</f>
        <v>92.5</v>
      </c>
      <c r="B34" s="1">
        <f>LARGE($A$30:$A$37,5)</f>
        <v>132.5</v>
      </c>
      <c r="C34" s="1">
        <f>B34-B35</f>
        <v>15.0</v>
      </c>
      <c r="D34" s="1">
        <f>SUMPRODUCT(--('Entradas'!$E$11:$E$14="HOT"),--('Entradas'!$H$11:$H$14-$A$5/2&lt;=(B34+B35)/2),--('Entradas'!$I$11:$I$14-$A$5/2&gt;=(B34+B35)/2),'Entradas'!$B$11:$B$14)</f>
        <v>5000.0</v>
      </c>
      <c r="E34" s="1">
        <f>SUMPRODUCT(--('Entradas'!$E$11:$E$14="COLD"),--('Entradas'!$H$11:$H$14+$A$5/2&lt;=(B34+B35)/2),--('Entradas'!$I$11:$I$14+$A$5/2&gt;=(B34+B35)/2),'Entradas'!$B$11:$B$14)</f>
        <v>3000.0</v>
      </c>
      <c r="F34" s="1">
        <f>D34-E34</f>
        <v>2000.0</v>
      </c>
      <c r="G34" s="1">
        <f>C34*F34</f>
        <v>30000.0</v>
      </c>
      <c r="H34" s="1">
        <f>H33+G33</f>
        <v>-45000.0</v>
      </c>
    </row>
    <row r="35" spans="1:8" ht="21" customHeight="1">
      <c r="A35" s="1">
        <f>'Entradas'!I13+IF('Entradas'!E13="HOT",-$A$5/2,$A$5/2)</f>
        <v>152.5</v>
      </c>
      <c r="B35" s="1">
        <f>LARGE($A$30:$A$37,6)</f>
        <v>117.5</v>
      </c>
      <c r="C35" s="1">
        <f>B35-B36</f>
        <v>20.0</v>
      </c>
      <c r="D35" s="1">
        <f>SUMPRODUCT(--('Entradas'!$E$11:$E$14="HOT"),--('Entradas'!$H$11:$H$14-$A$5/2&lt;=(B35+B36)/2),--('Entradas'!$I$11:$I$14-$A$5/2&gt;=(B35+B36)/2),'Entradas'!$B$11:$B$14)</f>
        <v>4000.0</v>
      </c>
      <c r="E35" s="1">
        <f>SUMPRODUCT(--('Entradas'!$E$11:$E$14="COLD"),--('Entradas'!$H$11:$H$14+$A$5/2&lt;=(B35+B36)/2),--('Entradas'!$I$11:$I$14+$A$5/2&gt;=(B35+B36)/2),'Entradas'!$B$11:$B$14)</f>
        <v>3000.0</v>
      </c>
      <c r="F35" s="1">
        <f>D35-E35</f>
        <v>1000.0</v>
      </c>
      <c r="G35" s="1">
        <f>C35*F35</f>
        <v>20000.0</v>
      </c>
      <c r="H35" s="1">
        <f>H34+G34</f>
        <v>-15000.0</v>
      </c>
    </row>
    <row r="36" spans="1:8" ht="21" customHeight="1">
      <c r="A36" s="1">
        <f>'Entradas'!H14+IF('Entradas'!E14="HOT",-$A$5/2,$A$5/2)</f>
        <v>132.5</v>
      </c>
      <c r="B36" s="1">
        <f>LARGE($A$30:$A$37,7)</f>
        <v>97.5</v>
      </c>
      <c r="C36" s="1">
        <f>B36-B37</f>
        <v>5.0</v>
      </c>
      <c r="D36" s="1">
        <f>SUMPRODUCT(--('Entradas'!$E$11:$E$14="HOT"),--('Entradas'!$H$11:$H$14-$A$5/2&lt;=(B36+B37)/2),--('Entradas'!$I$11:$I$14-$A$5/2&gt;=(B36+B37)/2),'Entradas'!$B$11:$B$14)</f>
        <v>0.0</v>
      </c>
      <c r="E36" s="1">
        <f>SUMPRODUCT(--('Entradas'!$E$11:$E$14="COLD"),--('Entradas'!$H$11:$H$14+$A$5/2&lt;=(B36+B37)/2),--('Entradas'!$I$11:$I$14+$A$5/2&gt;=(B36+B37)/2),'Entradas'!$B$11:$B$14)</f>
        <v>3000.0</v>
      </c>
      <c r="F36" s="1">
        <f>D36-E36</f>
        <v>-3000.0</v>
      </c>
      <c r="G36" s="1">
        <f>C36*F36</f>
        <v>-15000.0</v>
      </c>
      <c r="H36" s="1">
        <f>H35+G35</f>
        <v>5000.0</v>
      </c>
    </row>
    <row r="37" spans="1:8" ht="21" customHeight="1">
      <c r="A37" s="1">
        <f>'Entradas'!I14+IF('Entradas'!E14="HOT",-$A$5/2,$A$5/2)</f>
        <v>192.5</v>
      </c>
      <c r="B37" s="1">
        <f>LARGE($A$30:$A$37,8)</f>
        <v>92.5</v>
      </c>
      <c r="H37" s="1">
        <f>H36+G36</f>
        <v>-10000.0</v>
      </c>
    </row>
    <row r="40" spans="1:8" ht="21" customHeight="1">
      <c r="A40" s="7" t="s">
        <v>292</v>
      </c>
      <c r="B40" s="7"/>
      <c r="C40" s="7"/>
      <c r="D40" s="7"/>
      <c r="E40" s="7"/>
      <c r="F40" s="7"/>
      <c r="G40" s="7"/>
      <c r="H40" s="7"/>
    </row>
    <row r="41" spans="1:8" ht="36" customHeight="1">
      <c r="A41" s="7" t="s">
        <v>23</v>
      </c>
      <c r="B41" s="7" t="s">
        <v>289</v>
      </c>
      <c r="C41" s="7" t="s">
        <v>25</v>
      </c>
      <c r="D41" s="7" t="s">
        <v>59</v>
      </c>
      <c r="E41" s="7" t="s">
        <v>60</v>
      </c>
      <c r="F41" s="7" t="s">
        <v>28</v>
      </c>
      <c r="G41" s="7" t="s">
        <v>290</v>
      </c>
      <c r="H41" s="7" t="s">
        <v>30</v>
      </c>
    </row>
    <row r="42" spans="1:8" ht="21" customHeight="1">
      <c r="A42" s="1">
        <f>'Entradas'!H11+IF('Entradas'!E11="HOT",-$A$6/2,$A$6/2)</f>
        <v>115.0</v>
      </c>
      <c r="B42" s="1">
        <f>LARGE($A$42:$A$49,1)</f>
        <v>245.0</v>
      </c>
      <c r="C42" s="1">
        <f>B42-B43</f>
        <v>50.0</v>
      </c>
      <c r="D42" s="1">
        <f>SUMPRODUCT(--('Entradas'!$E$11:$E$14="HOT"),--('Entradas'!$H$11:$H$14-$A$6/2&lt;=(B42+B43)/2),--('Entradas'!$I$11:$I$14-$A$6/2&gt;=(B42+B43)/2),'Entradas'!$B$11:$B$14)</f>
        <v>1000.0</v>
      </c>
      <c r="E42" s="1">
        <f>SUMPRODUCT(--('Entradas'!$E$11:$E$14="COLD"),--('Entradas'!$H$11:$H$14+$A$6/2&lt;=(B42+B43)/2),--('Entradas'!$I$11:$I$14+$A$6/2&gt;=(B42+B43)/2),'Entradas'!$B$11:$B$14)</f>
        <v>0.0</v>
      </c>
      <c r="F42" s="1">
        <f>D42-E42</f>
        <v>1000.0</v>
      </c>
      <c r="G42" s="1">
        <f>C42*F42</f>
        <v>50000.0</v>
      </c>
      <c r="H42" s="1">
        <f>0</f>
        <v>0.0</v>
      </c>
    </row>
    <row r="43" spans="1:8" ht="21" customHeight="1">
      <c r="A43" s="1">
        <f>'Entradas'!I11+IF('Entradas'!E11="HOT",-$A$6/2,$A$6/2)</f>
        <v>245.0</v>
      </c>
      <c r="B43" s="1">
        <f>LARGE($A$42:$A$49,2)</f>
        <v>195.0</v>
      </c>
      <c r="C43" s="1">
        <f>B43-B44</f>
        <v>0.0</v>
      </c>
      <c r="D43" s="1">
        <f>SUMPRODUCT(--('Entradas'!$E$11:$E$14="HOT"),--('Entradas'!$H$11:$H$14-$A$6/2&lt;=(B43+B44)/2),--('Entradas'!$I$11:$I$14-$A$6/2&gt;=(B43+B44)/2),'Entradas'!$B$11:$B$14)</f>
        <v>5000.0</v>
      </c>
      <c r="E43" s="1">
        <f>SUMPRODUCT(--('Entradas'!$E$11:$E$14="COLD"),--('Entradas'!$H$11:$H$14+$A$6/2&lt;=(B43+B44)/2),--('Entradas'!$I$11:$I$14+$A$6/2&gt;=(B43+B44)/2),'Entradas'!$B$11:$B$14)</f>
        <v>6000.0</v>
      </c>
      <c r="F43" s="1">
        <f>D43-E43</f>
        <v>-1000.0</v>
      </c>
      <c r="G43" s="1">
        <f>C43*F43</f>
        <v>-0.0</v>
      </c>
      <c r="H43" s="1">
        <f>H42+G42</f>
        <v>50000.0</v>
      </c>
    </row>
    <row r="44" spans="1:8" ht="21" customHeight="1">
      <c r="A44" s="1">
        <f>'Entradas'!H12+IF('Entradas'!E12="HOT",-$A$6/2,$A$6/2)</f>
        <v>95.0</v>
      </c>
      <c r="B44" s="1">
        <f>LARGE($A$42:$A$49,3)</f>
        <v>195.0</v>
      </c>
      <c r="C44" s="1">
        <f>B44-B45</f>
        <v>40.0</v>
      </c>
      <c r="D44" s="1">
        <f>SUMPRODUCT(--('Entradas'!$E$11:$E$14="HOT"),--('Entradas'!$H$11:$H$14-$A$6/2&lt;=(B44+B45)/2),--('Entradas'!$I$11:$I$14-$A$6/2&gt;=(B44+B45)/2),'Entradas'!$B$11:$B$14)</f>
        <v>5000.0</v>
      </c>
      <c r="E44" s="1">
        <f>SUMPRODUCT(--('Entradas'!$E$11:$E$14="COLD"),--('Entradas'!$H$11:$H$14+$A$6/2&lt;=(B44+B45)/2),--('Entradas'!$I$11:$I$14+$A$6/2&gt;=(B44+B45)/2),'Entradas'!$B$11:$B$14)</f>
        <v>6000.0</v>
      </c>
      <c r="F44" s="1">
        <f>D44-E44</f>
        <v>-1000.0</v>
      </c>
      <c r="G44" s="1">
        <f>C44*F44</f>
        <v>-40000.0</v>
      </c>
      <c r="H44" s="1">
        <f>H43+G43</f>
        <v>50000.0</v>
      </c>
    </row>
    <row r="45" spans="1:8" ht="21" customHeight="1">
      <c r="A45" s="1">
        <f>'Entradas'!I12+IF('Entradas'!E12="HOT",-$A$6/2,$A$6/2)</f>
        <v>195.0</v>
      </c>
      <c r="B45" s="1">
        <f>LARGE($A$42:$A$49,4)</f>
        <v>155.0</v>
      </c>
      <c r="C45" s="1">
        <f>B45-B46</f>
        <v>20.0</v>
      </c>
      <c r="D45" s="1">
        <f>SUMPRODUCT(--('Entradas'!$E$11:$E$14="HOT"),--('Entradas'!$H$11:$H$14-$A$6/2&lt;=(B45+B46)/2),--('Entradas'!$I$11:$I$14-$A$6/2&gt;=(B45+B46)/2),'Entradas'!$B$11:$B$14)</f>
        <v>5000.0</v>
      </c>
      <c r="E45" s="1">
        <f>SUMPRODUCT(--('Entradas'!$E$11:$E$14="COLD"),--('Entradas'!$H$11:$H$14+$A$6/2&lt;=(B45+B46)/2),--('Entradas'!$I$11:$I$14+$A$6/2&gt;=(B45+B46)/2),'Entradas'!$B$11:$B$14)</f>
        <v>9000.0</v>
      </c>
      <c r="F45" s="1">
        <f>D45-E45</f>
        <v>-4000.0</v>
      </c>
      <c r="G45" s="1">
        <f>C45*F45</f>
        <v>-80000.0</v>
      </c>
      <c r="H45" s="1">
        <f>H44+G44</f>
        <v>10000.0</v>
      </c>
    </row>
    <row r="46" spans="1:8" ht="21" customHeight="1">
      <c r="A46" s="1">
        <f>'Entradas'!H13+IF('Entradas'!E13="HOT",-$A$6/2,$A$6/2)</f>
        <v>95.0</v>
      </c>
      <c r="B46" s="1">
        <f>LARGE($A$42:$A$49,5)</f>
        <v>135.0</v>
      </c>
      <c r="C46" s="1">
        <f>B46-B47</f>
        <v>20.0</v>
      </c>
      <c r="D46" s="1">
        <f>SUMPRODUCT(--('Entradas'!$E$11:$E$14="HOT"),--('Entradas'!$H$11:$H$14-$A$6/2&lt;=(B46+B47)/2),--('Entradas'!$I$11:$I$14-$A$6/2&gt;=(B46+B47)/2),'Entradas'!$B$11:$B$14)</f>
        <v>5000.0</v>
      </c>
      <c r="E46" s="1">
        <f>SUMPRODUCT(--('Entradas'!$E$11:$E$14="COLD"),--('Entradas'!$H$11:$H$14+$A$6/2&lt;=(B46+B47)/2),--('Entradas'!$I$11:$I$14+$A$6/2&gt;=(B46+B47)/2),'Entradas'!$B$11:$B$14)</f>
        <v>3000.0</v>
      </c>
      <c r="F46" s="1">
        <f>D46-E46</f>
        <v>2000.0</v>
      </c>
      <c r="G46" s="1">
        <f>C46*F46</f>
        <v>40000.0</v>
      </c>
      <c r="H46" s="1">
        <f>H45+G45</f>
        <v>-70000.0</v>
      </c>
    </row>
    <row r="47" spans="1:8" ht="21" customHeight="1">
      <c r="A47" s="1">
        <f>'Entradas'!I13+IF('Entradas'!E13="HOT",-$A$6/2,$A$6/2)</f>
        <v>155.0</v>
      </c>
      <c r="B47" s="1">
        <f>LARGE($A$42:$A$49,6)</f>
        <v>115.0</v>
      </c>
      <c r="C47" s="1">
        <f>B47-B48</f>
        <v>20.0</v>
      </c>
      <c r="D47" s="1">
        <f>SUMPRODUCT(--('Entradas'!$E$11:$E$14="HOT"),--('Entradas'!$H$11:$H$14-$A$6/2&lt;=(B47+B48)/2),--('Entradas'!$I$11:$I$14-$A$6/2&gt;=(B47+B48)/2),'Entradas'!$B$11:$B$14)</f>
        <v>4000.0</v>
      </c>
      <c r="E47" s="1">
        <f>SUMPRODUCT(--('Entradas'!$E$11:$E$14="COLD"),--('Entradas'!$H$11:$H$14+$A$6/2&lt;=(B47+B48)/2),--('Entradas'!$I$11:$I$14+$A$6/2&gt;=(B47+B48)/2),'Entradas'!$B$11:$B$14)</f>
        <v>3000.0</v>
      </c>
      <c r="F47" s="1">
        <f>D47-E47</f>
        <v>1000.0</v>
      </c>
      <c r="G47" s="1">
        <f>C47*F47</f>
        <v>20000.0</v>
      </c>
      <c r="H47" s="1">
        <f>H46+G46</f>
        <v>-30000.0</v>
      </c>
    </row>
    <row r="48" spans="1:8" ht="21" customHeight="1">
      <c r="A48" s="1">
        <f>'Entradas'!H14+IF('Entradas'!E14="HOT",-$A$6/2,$A$6/2)</f>
        <v>135.0</v>
      </c>
      <c r="B48" s="1">
        <f>LARGE($A$42:$A$49,7)</f>
        <v>95.0</v>
      </c>
      <c r="C48" s="1">
        <f>B48-B49</f>
        <v>0.0</v>
      </c>
      <c r="D48" s="1">
        <f>SUMPRODUCT(--('Entradas'!$E$11:$E$14="HOT"),--('Entradas'!$H$11:$H$14-$A$6/2&lt;=(B48+B49)/2),--('Entradas'!$I$11:$I$14-$A$6/2&gt;=(B48+B49)/2),'Entradas'!$B$11:$B$14)</f>
        <v>4000.0</v>
      </c>
      <c r="E48" s="1">
        <f>SUMPRODUCT(--('Entradas'!$E$11:$E$14="COLD"),--('Entradas'!$H$11:$H$14+$A$6/2&lt;=(B48+B49)/2),--('Entradas'!$I$11:$I$14+$A$6/2&gt;=(B48+B49)/2),'Entradas'!$B$11:$B$14)</f>
        <v>3000.0</v>
      </c>
      <c r="F48" s="1">
        <f>D48-E48</f>
        <v>1000.0</v>
      </c>
      <c r="G48" s="1">
        <f>C48*F48</f>
        <v>0.0</v>
      </c>
      <c r="H48" s="1">
        <f>H47+G47</f>
        <v>-10000.0</v>
      </c>
    </row>
    <row r="49" spans="1:8" ht="21" customHeight="1">
      <c r="A49" s="1">
        <f>'Entradas'!I14+IF('Entradas'!E14="HOT",-$A$6/2,$A$6/2)</f>
        <v>195.0</v>
      </c>
      <c r="B49" s="1">
        <f>LARGE($A$42:$A$49,8)</f>
        <v>95.0</v>
      </c>
      <c r="H49" s="1">
        <f>H48+G48</f>
        <v>-10000.0</v>
      </c>
    </row>
    <row r="52" spans="1:8" ht="21" customHeight="1">
      <c r="A52" s="7" t="s">
        <v>293</v>
      </c>
      <c r="B52" s="7"/>
      <c r="C52" s="7"/>
      <c r="D52" s="7"/>
      <c r="E52" s="7"/>
      <c r="F52" s="7"/>
      <c r="G52" s="7"/>
      <c r="H52" s="7"/>
    </row>
    <row r="53" spans="1:8" ht="36" customHeight="1">
      <c r="A53" s="7" t="s">
        <v>23</v>
      </c>
      <c r="B53" s="7" t="s">
        <v>289</v>
      </c>
      <c r="C53" s="7" t="s">
        <v>25</v>
      </c>
      <c r="D53" s="7" t="s">
        <v>59</v>
      </c>
      <c r="E53" s="7" t="s">
        <v>60</v>
      </c>
      <c r="F53" s="7" t="s">
        <v>28</v>
      </c>
      <c r="G53" s="7" t="s">
        <v>290</v>
      </c>
      <c r="H53" s="7" t="s">
        <v>30</v>
      </c>
    </row>
    <row r="54" spans="1:8" ht="21" customHeight="1">
      <c r="A54" s="1">
        <f>'Entradas'!H11+IF('Entradas'!E11="HOT",-$A$7/2,$A$7/2)</f>
        <v>112.5</v>
      </c>
      <c r="B54" s="1">
        <f>LARGE($A$54:$A$61,1)</f>
        <v>242.5</v>
      </c>
      <c r="C54" s="1">
        <f>B54-B55</f>
        <v>45.0</v>
      </c>
      <c r="D54" s="1">
        <f>SUMPRODUCT(--('Entradas'!$E$11:$E$14="HOT"),--('Entradas'!$H$11:$H$14-$A$7/2&lt;=(B54+B55)/2),--('Entradas'!$I$11:$I$14-$A$7/2&gt;=(B54+B55)/2),'Entradas'!$B$11:$B$14)</f>
        <v>1000.0</v>
      </c>
      <c r="E54" s="1">
        <f>SUMPRODUCT(--('Entradas'!$E$11:$E$14="COLD"),--('Entradas'!$H$11:$H$14+$A$7/2&lt;=(B54+B55)/2),--('Entradas'!$I$11:$I$14+$A$7/2&gt;=(B54+B55)/2),'Entradas'!$B$11:$B$14)</f>
        <v>0.0</v>
      </c>
      <c r="F54" s="1">
        <f>D54-E54</f>
        <v>1000.0</v>
      </c>
      <c r="G54" s="1">
        <f>C54*F54</f>
        <v>45000.0</v>
      </c>
      <c r="H54" s="1">
        <f>0</f>
        <v>0.0</v>
      </c>
    </row>
    <row r="55" spans="1:8" ht="21" customHeight="1">
      <c r="A55" s="1">
        <f>'Entradas'!I11+IF('Entradas'!E11="HOT",-$A$7/2,$A$7/2)</f>
        <v>242.5</v>
      </c>
      <c r="B55" s="1">
        <f>LARGE($A$54:$A$61,2)</f>
        <v>197.5</v>
      </c>
      <c r="C55" s="1">
        <f>B55-B56</f>
        <v>5.0</v>
      </c>
      <c r="D55" s="1">
        <f>SUMPRODUCT(--('Entradas'!$E$11:$E$14="HOT"),--('Entradas'!$H$11:$H$14-$A$7/2&lt;=(B55+B56)/2),--('Entradas'!$I$11:$I$14-$A$7/2&gt;=(B55+B56)/2),'Entradas'!$B$11:$B$14)</f>
        <v>1000.0</v>
      </c>
      <c r="E55" s="1">
        <f>SUMPRODUCT(--('Entradas'!$E$11:$E$14="COLD"),--('Entradas'!$H$11:$H$14+$A$7/2&lt;=(B55+B56)/2),--('Entradas'!$I$11:$I$14+$A$7/2&gt;=(B55+B56)/2),'Entradas'!$B$11:$B$14)</f>
        <v>6000.0</v>
      </c>
      <c r="F55" s="1">
        <f>D55-E55</f>
        <v>-5000.0</v>
      </c>
      <c r="G55" s="1">
        <f>C55*F55</f>
        <v>-25000.0</v>
      </c>
      <c r="H55" s="1">
        <f>H54+G54</f>
        <v>45000.0</v>
      </c>
    </row>
    <row r="56" spans="1:8" ht="21" customHeight="1">
      <c r="A56" s="1">
        <f>'Entradas'!H12+IF('Entradas'!E12="HOT",-$A$7/2,$A$7/2)</f>
        <v>92.5</v>
      </c>
      <c r="B56" s="1">
        <f>LARGE($A$54:$A$61,3)</f>
        <v>192.5</v>
      </c>
      <c r="C56" s="1">
        <f>B56-B57</f>
        <v>35.0</v>
      </c>
      <c r="D56" s="1">
        <f>SUMPRODUCT(--('Entradas'!$E$11:$E$14="HOT"),--('Entradas'!$H$11:$H$14-$A$7/2&lt;=(B56+B57)/2),--('Entradas'!$I$11:$I$14-$A$7/2&gt;=(B56+B57)/2),'Entradas'!$B$11:$B$14)</f>
        <v>5000.0</v>
      </c>
      <c r="E56" s="1">
        <f>SUMPRODUCT(--('Entradas'!$E$11:$E$14="COLD"),--('Entradas'!$H$11:$H$14+$A$7/2&lt;=(B56+B57)/2),--('Entradas'!$I$11:$I$14+$A$7/2&gt;=(B56+B57)/2),'Entradas'!$B$11:$B$14)</f>
        <v>6000.0</v>
      </c>
      <c r="F56" s="1">
        <f>D56-E56</f>
        <v>-1000.0</v>
      </c>
      <c r="G56" s="1">
        <f>C56*F56</f>
        <v>-35000.0</v>
      </c>
      <c r="H56" s="1">
        <f>H55+G55</f>
        <v>20000.0</v>
      </c>
    </row>
    <row r="57" spans="1:8" ht="21" customHeight="1">
      <c r="A57" s="1">
        <f>'Entradas'!I12+IF('Entradas'!E12="HOT",-$A$7/2,$A$7/2)</f>
        <v>192.5</v>
      </c>
      <c r="B57" s="1">
        <f>LARGE($A$54:$A$61,4)</f>
        <v>157.5</v>
      </c>
      <c r="C57" s="1">
        <f>B57-B58</f>
        <v>20.0</v>
      </c>
      <c r="D57" s="1">
        <f>SUMPRODUCT(--('Entradas'!$E$11:$E$14="HOT"),--('Entradas'!$H$11:$H$14-$A$7/2&lt;=(B57+B58)/2),--('Entradas'!$I$11:$I$14-$A$7/2&gt;=(B57+B58)/2),'Entradas'!$B$11:$B$14)</f>
        <v>5000.0</v>
      </c>
      <c r="E57" s="1">
        <f>SUMPRODUCT(--('Entradas'!$E$11:$E$14="COLD"),--('Entradas'!$H$11:$H$14+$A$7/2&lt;=(B57+B58)/2),--('Entradas'!$I$11:$I$14+$A$7/2&gt;=(B57+B58)/2),'Entradas'!$B$11:$B$14)</f>
        <v>9000.0</v>
      </c>
      <c r="F57" s="1">
        <f>D57-E57</f>
        <v>-4000.0</v>
      </c>
      <c r="G57" s="1">
        <f>C57*F57</f>
        <v>-80000.0</v>
      </c>
      <c r="H57" s="1">
        <f>H56+G56</f>
        <v>-15000.0</v>
      </c>
    </row>
    <row r="58" spans="1:8" ht="21" customHeight="1">
      <c r="A58" s="1">
        <f>'Entradas'!H13+IF('Entradas'!E13="HOT",-$A$7/2,$A$7/2)</f>
        <v>97.5</v>
      </c>
      <c r="B58" s="1">
        <f>LARGE($A$54:$A$61,5)</f>
        <v>137.5</v>
      </c>
      <c r="C58" s="1">
        <f>B58-B59</f>
        <v>25.0</v>
      </c>
      <c r="D58" s="1">
        <f>SUMPRODUCT(--('Entradas'!$E$11:$E$14="HOT"),--('Entradas'!$H$11:$H$14-$A$7/2&lt;=(B58+B59)/2),--('Entradas'!$I$11:$I$14-$A$7/2&gt;=(B58+B59)/2),'Entradas'!$B$11:$B$14)</f>
        <v>5000.0</v>
      </c>
      <c r="E58" s="1">
        <f>SUMPRODUCT(--('Entradas'!$E$11:$E$14="COLD"),--('Entradas'!$H$11:$H$14+$A$7/2&lt;=(B58+B59)/2),--('Entradas'!$I$11:$I$14+$A$7/2&gt;=(B58+B59)/2),'Entradas'!$B$11:$B$14)</f>
        <v>3000.0</v>
      </c>
      <c r="F58" s="1">
        <f>D58-E58</f>
        <v>2000.0</v>
      </c>
      <c r="G58" s="1">
        <f>C58*F58</f>
        <v>50000.0</v>
      </c>
      <c r="H58" s="1">
        <f>H57+G57</f>
        <v>-95000.0</v>
      </c>
    </row>
    <row r="59" spans="1:8" ht="21" customHeight="1">
      <c r="A59" s="1">
        <f>'Entradas'!I13+IF('Entradas'!E13="HOT",-$A$7/2,$A$7/2)</f>
        <v>157.5</v>
      </c>
      <c r="B59" s="1">
        <f>LARGE($A$54:$A$61,6)</f>
        <v>112.5</v>
      </c>
      <c r="C59" s="1">
        <f>B59-B60</f>
        <v>15.0</v>
      </c>
      <c r="D59" s="1">
        <f>SUMPRODUCT(--('Entradas'!$E$11:$E$14="HOT"),--('Entradas'!$H$11:$H$14-$A$7/2&lt;=(B59+B60)/2),--('Entradas'!$I$11:$I$14-$A$7/2&gt;=(B59+B60)/2),'Entradas'!$B$11:$B$14)</f>
        <v>4000.0</v>
      </c>
      <c r="E59" s="1">
        <f>SUMPRODUCT(--('Entradas'!$E$11:$E$14="COLD"),--('Entradas'!$H$11:$H$14+$A$7/2&lt;=(B59+B60)/2),--('Entradas'!$I$11:$I$14+$A$7/2&gt;=(B59+B60)/2),'Entradas'!$B$11:$B$14)</f>
        <v>3000.0</v>
      </c>
      <c r="F59" s="1">
        <f>D59-E59</f>
        <v>1000.0</v>
      </c>
      <c r="G59" s="1">
        <f>C59*F59</f>
        <v>15000.0</v>
      </c>
      <c r="H59" s="1">
        <f>H58+G58</f>
        <v>-45000.0</v>
      </c>
    </row>
    <row r="60" spans="1:8" ht="21" customHeight="1">
      <c r="A60" s="1">
        <f>'Entradas'!H14+IF('Entradas'!E14="HOT",-$A$7/2,$A$7/2)</f>
        <v>137.5</v>
      </c>
      <c r="B60" s="1">
        <f>LARGE($A$54:$A$61,7)</f>
        <v>97.5</v>
      </c>
      <c r="C60" s="1">
        <f>B60-B61</f>
        <v>5.0</v>
      </c>
      <c r="D60" s="1">
        <f>SUMPRODUCT(--('Entradas'!$E$11:$E$14="HOT"),--('Entradas'!$H$11:$H$14-$A$7/2&lt;=(B60+B61)/2),--('Entradas'!$I$11:$I$14-$A$7/2&gt;=(B60+B61)/2),'Entradas'!$B$11:$B$14)</f>
        <v>4000.0</v>
      </c>
      <c r="E60" s="1">
        <f>SUMPRODUCT(--('Entradas'!$E$11:$E$14="COLD"),--('Entradas'!$H$11:$H$14+$A$7/2&lt;=(B60+B61)/2),--('Entradas'!$I$11:$I$14+$A$7/2&gt;=(B60+B61)/2),'Entradas'!$B$11:$B$14)</f>
        <v>0.0</v>
      </c>
      <c r="F60" s="1">
        <f>D60-E60</f>
        <v>4000.0</v>
      </c>
      <c r="G60" s="1">
        <f>C60*F60</f>
        <v>20000.0</v>
      </c>
      <c r="H60" s="1">
        <f>H59+G59</f>
        <v>-30000.0</v>
      </c>
    </row>
    <row r="61" spans="1:8" ht="21" customHeight="1">
      <c r="A61" s="1">
        <f>'Entradas'!I14+IF('Entradas'!E14="HOT",-$A$7/2,$A$7/2)</f>
        <v>197.5</v>
      </c>
      <c r="B61" s="1">
        <f>LARGE($A$54:$A$61,8)</f>
        <v>92.5</v>
      </c>
      <c r="H61" s="1">
        <f>H60+G60</f>
        <v>-10000.0</v>
      </c>
    </row>
    <row r="64" spans="1:8" ht="21" customHeight="1">
      <c r="A64" s="7" t="s">
        <v>294</v>
      </c>
      <c r="B64" s="7"/>
      <c r="C64" s="7"/>
      <c r="D64" s="7"/>
      <c r="E64" s="7"/>
      <c r="F64" s="7"/>
      <c r="G64" s="7"/>
      <c r="H64" s="7"/>
    </row>
    <row r="65" spans="1:8" ht="36" customHeight="1">
      <c r="A65" s="7" t="s">
        <v>23</v>
      </c>
      <c r="B65" s="7" t="s">
        <v>289</v>
      </c>
      <c r="C65" s="7" t="s">
        <v>25</v>
      </c>
      <c r="D65" s="7" t="s">
        <v>59</v>
      </c>
      <c r="E65" s="7" t="s">
        <v>60</v>
      </c>
      <c r="F65" s="7" t="s">
        <v>28</v>
      </c>
      <c r="G65" s="7" t="s">
        <v>290</v>
      </c>
      <c r="H65" s="7" t="s">
        <v>30</v>
      </c>
    </row>
    <row r="66" spans="1:8" ht="21" customHeight="1">
      <c r="A66" s="1">
        <f>'Entradas'!H11+IF('Entradas'!E11="HOT",-$A$8/2,$A$8/2)</f>
        <v>110.0</v>
      </c>
      <c r="B66" s="1">
        <f>LARGE($A$66:$A$73,1)</f>
        <v>240.0</v>
      </c>
      <c r="C66" s="1">
        <f>B66-B67</f>
        <v>40.0</v>
      </c>
      <c r="D66" s="1">
        <f>SUMPRODUCT(--('Entradas'!$E$11:$E$14="HOT"),--('Entradas'!$H$11:$H$14-$A$8/2&lt;=(B66+B67)/2),--('Entradas'!$I$11:$I$14-$A$8/2&gt;=(B66+B67)/2),'Entradas'!$B$11:$B$14)</f>
        <v>1000.0</v>
      </c>
      <c r="E66" s="1">
        <f>SUMPRODUCT(--('Entradas'!$E$11:$E$14="COLD"),--('Entradas'!$H$11:$H$14+$A$8/2&lt;=(B66+B67)/2),--('Entradas'!$I$11:$I$14+$A$8/2&gt;=(B66+B67)/2),'Entradas'!$B$11:$B$14)</f>
        <v>0.0</v>
      </c>
      <c r="F66" s="1">
        <f>D66-E66</f>
        <v>1000.0</v>
      </c>
      <c r="G66" s="1">
        <f>C66*F66</f>
        <v>40000.0</v>
      </c>
      <c r="H66" s="1">
        <f>0</f>
        <v>0.0</v>
      </c>
    </row>
    <row r="67" spans="1:8" ht="21" customHeight="1">
      <c r="A67" s="1">
        <f>'Entradas'!I11+IF('Entradas'!E11="HOT",-$A$8/2,$A$8/2)</f>
        <v>240.0</v>
      </c>
      <c r="B67" s="1">
        <f>LARGE($A$66:$A$73,2)</f>
        <v>200.0</v>
      </c>
      <c r="C67" s="1">
        <f>B67-B68</f>
        <v>10.0</v>
      </c>
      <c r="D67" s="1">
        <f>SUMPRODUCT(--('Entradas'!$E$11:$E$14="HOT"),--('Entradas'!$H$11:$H$14-$A$8/2&lt;=(B67+B68)/2),--('Entradas'!$I$11:$I$14-$A$8/2&gt;=(B67+B68)/2),'Entradas'!$B$11:$B$14)</f>
        <v>1000.0</v>
      </c>
      <c r="E67" s="1">
        <f>SUMPRODUCT(--('Entradas'!$E$11:$E$14="COLD"),--('Entradas'!$H$11:$H$14+$A$8/2&lt;=(B67+B68)/2),--('Entradas'!$I$11:$I$14+$A$8/2&gt;=(B67+B68)/2),'Entradas'!$B$11:$B$14)</f>
        <v>6000.0</v>
      </c>
      <c r="F67" s="1">
        <f>D67-E67</f>
        <v>-5000.0</v>
      </c>
      <c r="G67" s="1">
        <f>C67*F67</f>
        <v>-50000.0</v>
      </c>
      <c r="H67" s="1">
        <f>H66+G66</f>
        <v>40000.0</v>
      </c>
    </row>
    <row r="68" spans="1:8" ht="21" customHeight="1">
      <c r="A68" s="1">
        <f>'Entradas'!H12+IF('Entradas'!E12="HOT",-$A$8/2,$A$8/2)</f>
        <v>90.0</v>
      </c>
      <c r="B68" s="1">
        <f>LARGE($A$66:$A$73,3)</f>
        <v>190.0</v>
      </c>
      <c r="C68" s="1">
        <f>B68-B69</f>
        <v>30.0</v>
      </c>
      <c r="D68" s="1">
        <f>SUMPRODUCT(--('Entradas'!$E$11:$E$14="HOT"),--('Entradas'!$H$11:$H$14-$A$8/2&lt;=(B68+B69)/2),--('Entradas'!$I$11:$I$14-$A$8/2&gt;=(B68+B69)/2),'Entradas'!$B$11:$B$14)</f>
        <v>5000.0</v>
      </c>
      <c r="E68" s="1">
        <f>SUMPRODUCT(--('Entradas'!$E$11:$E$14="COLD"),--('Entradas'!$H$11:$H$14+$A$8/2&lt;=(B68+B69)/2),--('Entradas'!$I$11:$I$14+$A$8/2&gt;=(B68+B69)/2),'Entradas'!$B$11:$B$14)</f>
        <v>6000.0</v>
      </c>
      <c r="F68" s="1">
        <f>D68-E68</f>
        <v>-1000.0</v>
      </c>
      <c r="G68" s="1">
        <f>C68*F68</f>
        <v>-30000.0</v>
      </c>
      <c r="H68" s="1">
        <f>H67+G67</f>
        <v>-10000.0</v>
      </c>
    </row>
    <row r="69" spans="1:8" ht="21" customHeight="1">
      <c r="A69" s="1">
        <f>'Entradas'!I12+IF('Entradas'!E12="HOT",-$A$8/2,$A$8/2)</f>
        <v>190.0</v>
      </c>
      <c r="B69" s="1">
        <f>LARGE($A$66:$A$73,4)</f>
        <v>160.0</v>
      </c>
      <c r="C69" s="1">
        <f>B69-B70</f>
        <v>20.0</v>
      </c>
      <c r="D69" s="1">
        <f>SUMPRODUCT(--('Entradas'!$E$11:$E$14="HOT"),--('Entradas'!$H$11:$H$14-$A$8/2&lt;=(B69+B70)/2),--('Entradas'!$I$11:$I$14-$A$8/2&gt;=(B69+B70)/2),'Entradas'!$B$11:$B$14)</f>
        <v>5000.0</v>
      </c>
      <c r="E69" s="1">
        <f>SUMPRODUCT(--('Entradas'!$E$11:$E$14="COLD"),--('Entradas'!$H$11:$H$14+$A$8/2&lt;=(B69+B70)/2),--('Entradas'!$I$11:$I$14+$A$8/2&gt;=(B69+B70)/2),'Entradas'!$B$11:$B$14)</f>
        <v>9000.0</v>
      </c>
      <c r="F69" s="1">
        <f>D69-E69</f>
        <v>-4000.0</v>
      </c>
      <c r="G69" s="1">
        <f>C69*F69</f>
        <v>-80000.0</v>
      </c>
      <c r="H69" s="1">
        <f>H68+G68</f>
        <v>-40000.0</v>
      </c>
    </row>
    <row r="70" spans="1:8" ht="21" customHeight="1">
      <c r="A70" s="1">
        <f>'Entradas'!H13+IF('Entradas'!E13="HOT",-$A$8/2,$A$8/2)</f>
        <v>100.0</v>
      </c>
      <c r="B70" s="1">
        <f>LARGE($A$66:$A$73,5)</f>
        <v>140.0</v>
      </c>
      <c r="C70" s="1">
        <f>B70-B71</f>
        <v>30.0</v>
      </c>
      <c r="D70" s="1">
        <f>SUMPRODUCT(--('Entradas'!$E$11:$E$14="HOT"),--('Entradas'!$H$11:$H$14-$A$8/2&lt;=(B70+B71)/2),--('Entradas'!$I$11:$I$14-$A$8/2&gt;=(B70+B71)/2),'Entradas'!$B$11:$B$14)</f>
        <v>5000.0</v>
      </c>
      <c r="E70" s="1">
        <f>SUMPRODUCT(--('Entradas'!$E$11:$E$14="COLD"),--('Entradas'!$H$11:$H$14+$A$8/2&lt;=(B70+B71)/2),--('Entradas'!$I$11:$I$14+$A$8/2&gt;=(B70+B71)/2),'Entradas'!$B$11:$B$14)</f>
        <v>3000.0</v>
      </c>
      <c r="F70" s="1">
        <f>D70-E70</f>
        <v>2000.0</v>
      </c>
      <c r="G70" s="1">
        <f>C70*F70</f>
        <v>60000.0</v>
      </c>
      <c r="H70" s="1">
        <f>H69+G69</f>
        <v>-120000.0</v>
      </c>
    </row>
    <row r="71" spans="1:8" ht="21" customHeight="1">
      <c r="A71" s="1">
        <f>'Entradas'!I13+IF('Entradas'!E13="HOT",-$A$8/2,$A$8/2)</f>
        <v>160.0</v>
      </c>
      <c r="B71" s="1">
        <f>LARGE($A$66:$A$73,6)</f>
        <v>110.0</v>
      </c>
      <c r="C71" s="1">
        <f>B71-B72</f>
        <v>10.0</v>
      </c>
      <c r="D71" s="1">
        <f>SUMPRODUCT(--('Entradas'!$E$11:$E$14="HOT"),--('Entradas'!$H$11:$H$14-$A$8/2&lt;=(B71+B72)/2),--('Entradas'!$I$11:$I$14-$A$8/2&gt;=(B71+B72)/2),'Entradas'!$B$11:$B$14)</f>
        <v>4000.0</v>
      </c>
      <c r="E71" s="1">
        <f>SUMPRODUCT(--('Entradas'!$E$11:$E$14="COLD"),--('Entradas'!$H$11:$H$14+$A$8/2&lt;=(B71+B72)/2),--('Entradas'!$I$11:$I$14+$A$8/2&gt;=(B71+B72)/2),'Entradas'!$B$11:$B$14)</f>
        <v>3000.0</v>
      </c>
      <c r="F71" s="1">
        <f>D71-E71</f>
        <v>1000.0</v>
      </c>
      <c r="G71" s="1">
        <f>C71*F71</f>
        <v>10000.0</v>
      </c>
      <c r="H71" s="1">
        <f>H70+G70</f>
        <v>-60000.0</v>
      </c>
    </row>
    <row r="72" spans="1:8" ht="21" customHeight="1">
      <c r="A72" s="1">
        <f>'Entradas'!H14+IF('Entradas'!E14="HOT",-$A$8/2,$A$8/2)</f>
        <v>140.0</v>
      </c>
      <c r="B72" s="1">
        <f>LARGE($A$66:$A$73,7)</f>
        <v>100.0</v>
      </c>
      <c r="C72" s="1">
        <f>B72-B73</f>
        <v>10.0</v>
      </c>
      <c r="D72" s="1">
        <f>SUMPRODUCT(--('Entradas'!$E$11:$E$14="HOT"),--('Entradas'!$H$11:$H$14-$A$8/2&lt;=(B72+B73)/2),--('Entradas'!$I$11:$I$14-$A$8/2&gt;=(B72+B73)/2),'Entradas'!$B$11:$B$14)</f>
        <v>4000.0</v>
      </c>
      <c r="E72" s="1">
        <f>SUMPRODUCT(--('Entradas'!$E$11:$E$14="COLD"),--('Entradas'!$H$11:$H$14+$A$8/2&lt;=(B72+B73)/2),--('Entradas'!$I$11:$I$14+$A$8/2&gt;=(B72+B73)/2),'Entradas'!$B$11:$B$14)</f>
        <v>0.0</v>
      </c>
      <c r="F72" s="1">
        <f>D72-E72</f>
        <v>4000.0</v>
      </c>
      <c r="G72" s="1">
        <f>C72*F72</f>
        <v>40000.0</v>
      </c>
      <c r="H72" s="1">
        <f>H71+G71</f>
        <v>-50000.0</v>
      </c>
    </row>
    <row r="73" spans="1:8" ht="21" customHeight="1">
      <c r="A73" s="1">
        <f>'Entradas'!I14+IF('Entradas'!E14="HOT",-$A$8/2,$A$8/2)</f>
        <v>200.0</v>
      </c>
      <c r="B73" s="1">
        <f>LARGE($A$66:$A$73,8)</f>
        <v>90.0</v>
      </c>
      <c r="H73" s="1">
        <f>H72+G72</f>
        <v>-10000.0</v>
      </c>
    </row>
    <row r="76" spans="1:8" ht="21" customHeight="1">
      <c r="A76" s="7" t="s">
        <v>295</v>
      </c>
      <c r="B76" s="7"/>
      <c r="C76" s="7"/>
      <c r="D76" s="7"/>
      <c r="E76" s="7"/>
      <c r="F76" s="7"/>
      <c r="G76" s="7"/>
      <c r="H76" s="7"/>
    </row>
    <row r="77" spans="1:8" ht="36" customHeight="1">
      <c r="A77" s="7" t="s">
        <v>23</v>
      </c>
      <c r="B77" s="7" t="s">
        <v>289</v>
      </c>
      <c r="C77" s="7" t="s">
        <v>25</v>
      </c>
      <c r="D77" s="7" t="s">
        <v>59</v>
      </c>
      <c r="E77" s="7" t="s">
        <v>60</v>
      </c>
      <c r="F77" s="7" t="s">
        <v>28</v>
      </c>
      <c r="G77" s="7" t="s">
        <v>290</v>
      </c>
      <c r="H77" s="7" t="s">
        <v>30</v>
      </c>
    </row>
    <row r="78" spans="1:8" ht="21" customHeight="1">
      <c r="A78" s="1">
        <f>'Entradas'!H11+IF('Entradas'!E11="HOT",-$A$9/2,$A$9/2)</f>
        <v>107.5</v>
      </c>
      <c r="B78" s="1">
        <f>LARGE($A$78:$A$85,1)</f>
        <v>237.5</v>
      </c>
      <c r="C78" s="1">
        <f>B78-B79</f>
        <v>35.0</v>
      </c>
      <c r="D78" s="1">
        <f>SUMPRODUCT(--('Entradas'!$E$11:$E$14="HOT"),--('Entradas'!$H$11:$H$14-$A$9/2&lt;=(B78+B79)/2),--('Entradas'!$I$11:$I$14-$A$9/2&gt;=(B78+B79)/2),'Entradas'!$B$11:$B$14)</f>
        <v>1000.0</v>
      </c>
      <c r="E78" s="1">
        <f>SUMPRODUCT(--('Entradas'!$E$11:$E$14="COLD"),--('Entradas'!$H$11:$H$14+$A$9/2&lt;=(B78+B79)/2),--('Entradas'!$I$11:$I$14+$A$9/2&gt;=(B78+B79)/2),'Entradas'!$B$11:$B$14)</f>
        <v>0.0</v>
      </c>
      <c r="F78" s="1">
        <f>D78-E78</f>
        <v>1000.0</v>
      </c>
      <c r="G78" s="1">
        <f>C78*F78</f>
        <v>35000.0</v>
      </c>
      <c r="H78" s="1">
        <f>0</f>
        <v>0.0</v>
      </c>
    </row>
    <row r="79" spans="1:8" ht="21" customHeight="1">
      <c r="A79" s="1">
        <f>'Entradas'!I11+IF('Entradas'!E11="HOT",-$A$9/2,$A$9/2)</f>
        <v>237.5</v>
      </c>
      <c r="B79" s="1">
        <f>LARGE($A$78:$A$85,2)</f>
        <v>202.5</v>
      </c>
      <c r="C79" s="1">
        <f>B79-B80</f>
        <v>15.0</v>
      </c>
      <c r="D79" s="1">
        <f>SUMPRODUCT(--('Entradas'!$E$11:$E$14="HOT"),--('Entradas'!$H$11:$H$14-$A$9/2&lt;=(B79+B80)/2),--('Entradas'!$I$11:$I$14-$A$9/2&gt;=(B79+B80)/2),'Entradas'!$B$11:$B$14)</f>
        <v>1000.0</v>
      </c>
      <c r="E79" s="1">
        <f>SUMPRODUCT(--('Entradas'!$E$11:$E$14="COLD"),--('Entradas'!$H$11:$H$14+$A$9/2&lt;=(B79+B80)/2),--('Entradas'!$I$11:$I$14+$A$9/2&gt;=(B79+B80)/2),'Entradas'!$B$11:$B$14)</f>
        <v>6000.0</v>
      </c>
      <c r="F79" s="1">
        <f>D79-E79</f>
        <v>-5000.0</v>
      </c>
      <c r="G79" s="1">
        <f>C79*F79</f>
        <v>-75000.0</v>
      </c>
      <c r="H79" s="1">
        <f>H78+G78</f>
        <v>35000.0</v>
      </c>
    </row>
    <row r="80" spans="1:8" ht="21" customHeight="1">
      <c r="A80" s="1">
        <f>'Entradas'!H12+IF('Entradas'!E12="HOT",-$A$9/2,$A$9/2)</f>
        <v>87.5</v>
      </c>
      <c r="B80" s="1">
        <f>LARGE($A$78:$A$85,3)</f>
        <v>187.5</v>
      </c>
      <c r="C80" s="1">
        <f>B80-B81</f>
        <v>25.0</v>
      </c>
      <c r="D80" s="1">
        <f>SUMPRODUCT(--('Entradas'!$E$11:$E$14="HOT"),--('Entradas'!$H$11:$H$14-$A$9/2&lt;=(B80+B81)/2),--('Entradas'!$I$11:$I$14-$A$9/2&gt;=(B80+B81)/2),'Entradas'!$B$11:$B$14)</f>
        <v>5000.0</v>
      </c>
      <c r="E80" s="1">
        <f>SUMPRODUCT(--('Entradas'!$E$11:$E$14="COLD"),--('Entradas'!$H$11:$H$14+$A$9/2&lt;=(B80+B81)/2),--('Entradas'!$I$11:$I$14+$A$9/2&gt;=(B80+B81)/2),'Entradas'!$B$11:$B$14)</f>
        <v>6000.0</v>
      </c>
      <c r="F80" s="1">
        <f>D80-E80</f>
        <v>-1000.0</v>
      </c>
      <c r="G80" s="1">
        <f>C80*F80</f>
        <v>-25000.0</v>
      </c>
      <c r="H80" s="1">
        <f>H79+G79</f>
        <v>-40000.0</v>
      </c>
    </row>
    <row r="81" spans="1:8" ht="21" customHeight="1">
      <c r="A81" s="1">
        <f>'Entradas'!I12+IF('Entradas'!E12="HOT",-$A$9/2,$A$9/2)</f>
        <v>187.5</v>
      </c>
      <c r="B81" s="1">
        <f>LARGE($A$78:$A$85,4)</f>
        <v>162.5</v>
      </c>
      <c r="C81" s="1">
        <f>B81-B82</f>
        <v>20.0</v>
      </c>
      <c r="D81" s="1">
        <f>SUMPRODUCT(--('Entradas'!$E$11:$E$14="HOT"),--('Entradas'!$H$11:$H$14-$A$9/2&lt;=(B81+B82)/2),--('Entradas'!$I$11:$I$14-$A$9/2&gt;=(B81+B82)/2),'Entradas'!$B$11:$B$14)</f>
        <v>5000.0</v>
      </c>
      <c r="E81" s="1">
        <f>SUMPRODUCT(--('Entradas'!$E$11:$E$14="COLD"),--('Entradas'!$H$11:$H$14+$A$9/2&lt;=(B81+B82)/2),--('Entradas'!$I$11:$I$14+$A$9/2&gt;=(B81+B82)/2),'Entradas'!$B$11:$B$14)</f>
        <v>9000.0</v>
      </c>
      <c r="F81" s="1">
        <f>D81-E81</f>
        <v>-4000.0</v>
      </c>
      <c r="G81" s="1">
        <f>C81*F81</f>
        <v>-80000.0</v>
      </c>
      <c r="H81" s="1">
        <f>H80+G80</f>
        <v>-65000.0</v>
      </c>
    </row>
    <row r="82" spans="1:8" ht="21" customHeight="1">
      <c r="A82" s="1">
        <f>'Entradas'!H13+IF('Entradas'!E13="HOT",-$A$9/2,$A$9/2)</f>
        <v>102.5</v>
      </c>
      <c r="B82" s="1">
        <f>LARGE($A$78:$A$85,5)</f>
        <v>142.5</v>
      </c>
      <c r="C82" s="1">
        <f>B82-B83</f>
        <v>35.0</v>
      </c>
      <c r="D82" s="1">
        <f>SUMPRODUCT(--('Entradas'!$E$11:$E$14="HOT"),--('Entradas'!$H$11:$H$14-$A$9/2&lt;=(B82+B83)/2),--('Entradas'!$I$11:$I$14-$A$9/2&gt;=(B82+B83)/2),'Entradas'!$B$11:$B$14)</f>
        <v>5000.0</v>
      </c>
      <c r="E82" s="1">
        <f>SUMPRODUCT(--('Entradas'!$E$11:$E$14="COLD"),--('Entradas'!$H$11:$H$14+$A$9/2&lt;=(B82+B83)/2),--('Entradas'!$I$11:$I$14+$A$9/2&gt;=(B82+B83)/2),'Entradas'!$B$11:$B$14)</f>
        <v>3000.0</v>
      </c>
      <c r="F82" s="1">
        <f>D82-E82</f>
        <v>2000.0</v>
      </c>
      <c r="G82" s="1">
        <f>C82*F82</f>
        <v>70000.0</v>
      </c>
      <c r="H82" s="1">
        <f>H81+G81</f>
        <v>-145000.0</v>
      </c>
    </row>
    <row r="83" spans="1:8" ht="21" customHeight="1">
      <c r="A83" s="1">
        <f>'Entradas'!I13+IF('Entradas'!E13="HOT",-$A$9/2,$A$9/2)</f>
        <v>162.5</v>
      </c>
      <c r="B83" s="1">
        <f>LARGE($A$78:$A$85,6)</f>
        <v>107.5</v>
      </c>
      <c r="C83" s="1">
        <f>B83-B84</f>
        <v>5.0</v>
      </c>
      <c r="D83" s="1">
        <f>SUMPRODUCT(--('Entradas'!$E$11:$E$14="HOT"),--('Entradas'!$H$11:$H$14-$A$9/2&lt;=(B83+B84)/2),--('Entradas'!$I$11:$I$14-$A$9/2&gt;=(B83+B84)/2),'Entradas'!$B$11:$B$14)</f>
        <v>4000.0</v>
      </c>
      <c r="E83" s="1">
        <f>SUMPRODUCT(--('Entradas'!$E$11:$E$14="COLD"),--('Entradas'!$H$11:$H$14+$A$9/2&lt;=(B83+B84)/2),--('Entradas'!$I$11:$I$14+$A$9/2&gt;=(B83+B84)/2),'Entradas'!$B$11:$B$14)</f>
        <v>3000.0</v>
      </c>
      <c r="F83" s="1">
        <f>D83-E83</f>
        <v>1000.0</v>
      </c>
      <c r="G83" s="1">
        <f>C83*F83</f>
        <v>5000.0</v>
      </c>
      <c r="H83" s="1">
        <f>H82+G82</f>
        <v>-75000.0</v>
      </c>
    </row>
    <row r="84" spans="1:8" ht="21" customHeight="1">
      <c r="A84" s="1">
        <f>'Entradas'!H14+IF('Entradas'!E14="HOT",-$A$9/2,$A$9/2)</f>
        <v>142.5</v>
      </c>
      <c r="B84" s="1">
        <f>LARGE($A$78:$A$85,7)</f>
        <v>102.5</v>
      </c>
      <c r="C84" s="1">
        <f>B84-B85</f>
        <v>15.0</v>
      </c>
      <c r="D84" s="1">
        <f>SUMPRODUCT(--('Entradas'!$E$11:$E$14="HOT"),--('Entradas'!$H$11:$H$14-$A$9/2&lt;=(B84+B85)/2),--('Entradas'!$I$11:$I$14-$A$9/2&gt;=(B84+B85)/2),'Entradas'!$B$11:$B$14)</f>
        <v>4000.0</v>
      </c>
      <c r="E84" s="1">
        <f>SUMPRODUCT(--('Entradas'!$E$11:$E$14="COLD"),--('Entradas'!$H$11:$H$14+$A$9/2&lt;=(B84+B85)/2),--('Entradas'!$I$11:$I$14+$A$9/2&gt;=(B84+B85)/2),'Entradas'!$B$11:$B$14)</f>
        <v>0.0</v>
      </c>
      <c r="F84" s="1">
        <f>D84-E84</f>
        <v>4000.0</v>
      </c>
      <c r="G84" s="1">
        <f>C84*F84</f>
        <v>60000.0</v>
      </c>
      <c r="H84" s="1">
        <f>H83+G83</f>
        <v>-70000.0</v>
      </c>
    </row>
    <row r="85" spans="1:8" ht="21" customHeight="1">
      <c r="A85" s="1">
        <f>'Entradas'!I14+IF('Entradas'!E14="HOT",-$A$9/2,$A$9/2)</f>
        <v>202.5</v>
      </c>
      <c r="B85" s="1">
        <f>LARGE($A$78:$A$85,8)</f>
        <v>87.5</v>
      </c>
      <c r="H85" s="1">
        <f>H84+G84</f>
        <v>-10000.0</v>
      </c>
    </row>
    <row r="88" spans="1:8" ht="21" customHeight="1">
      <c r="A88" s="7" t="s">
        <v>296</v>
      </c>
      <c r="B88" s="7"/>
      <c r="C88" s="7"/>
      <c r="D88" s="7"/>
      <c r="E88" s="7"/>
      <c r="F88" s="7"/>
      <c r="G88" s="7"/>
      <c r="H88" s="7"/>
    </row>
    <row r="89" spans="1:8" ht="36" customHeight="1">
      <c r="A89" s="7" t="s">
        <v>23</v>
      </c>
      <c r="B89" s="7" t="s">
        <v>289</v>
      </c>
      <c r="C89" s="7" t="s">
        <v>25</v>
      </c>
      <c r="D89" s="7" t="s">
        <v>59</v>
      </c>
      <c r="E89" s="7" t="s">
        <v>60</v>
      </c>
      <c r="F89" s="7" t="s">
        <v>28</v>
      </c>
      <c r="G89" s="7" t="s">
        <v>290</v>
      </c>
      <c r="H89" s="7" t="s">
        <v>30</v>
      </c>
    </row>
    <row r="90" spans="1:8" ht="21" customHeight="1">
      <c r="A90" s="1">
        <f>'Entradas'!H11+IF('Entradas'!E11="HOT",-$A$10/2,$A$10/2)</f>
        <v>105.0</v>
      </c>
      <c r="B90" s="1">
        <f>LARGE($A$90:$A$97,1)</f>
        <v>235.0</v>
      </c>
      <c r="C90" s="1">
        <f>B90-B91</f>
        <v>30.0</v>
      </c>
      <c r="D90" s="1">
        <f>SUMPRODUCT(--('Entradas'!$E$11:$E$14="HOT"),--('Entradas'!$H$11:$H$14-$A$10/2&lt;=(B90+B91)/2),--('Entradas'!$I$11:$I$14-$A$10/2&gt;=(B90+B91)/2),'Entradas'!$B$11:$B$14)</f>
        <v>1000.0</v>
      </c>
      <c r="E90" s="1">
        <f>SUMPRODUCT(--('Entradas'!$E$11:$E$14="COLD"),--('Entradas'!$H$11:$H$14+$A$10/2&lt;=(B90+B91)/2),--('Entradas'!$I$11:$I$14+$A$10/2&gt;=(B90+B91)/2),'Entradas'!$B$11:$B$14)</f>
        <v>0.0</v>
      </c>
      <c r="F90" s="1">
        <f>D90-E90</f>
        <v>1000.0</v>
      </c>
      <c r="G90" s="1">
        <f>C90*F90</f>
        <v>30000.0</v>
      </c>
      <c r="H90" s="1">
        <f>0</f>
        <v>0.0</v>
      </c>
    </row>
    <row r="91" spans="1:8" ht="21" customHeight="1">
      <c r="A91" s="1">
        <f>'Entradas'!I11+IF('Entradas'!E11="HOT",-$A$10/2,$A$10/2)</f>
        <v>235.0</v>
      </c>
      <c r="B91" s="1">
        <f>LARGE($A$90:$A$97,2)</f>
        <v>205.0</v>
      </c>
      <c r="C91" s="1">
        <f>B91-B92</f>
        <v>20.0</v>
      </c>
      <c r="D91" s="1">
        <f>SUMPRODUCT(--('Entradas'!$E$11:$E$14="HOT"),--('Entradas'!$H$11:$H$14-$A$10/2&lt;=(B91+B92)/2),--('Entradas'!$I$11:$I$14-$A$10/2&gt;=(B91+B92)/2),'Entradas'!$B$11:$B$14)</f>
        <v>1000.0</v>
      </c>
      <c r="E91" s="1">
        <f>SUMPRODUCT(--('Entradas'!$E$11:$E$14="COLD"),--('Entradas'!$H$11:$H$14+$A$10/2&lt;=(B91+B92)/2),--('Entradas'!$I$11:$I$14+$A$10/2&gt;=(B91+B92)/2),'Entradas'!$B$11:$B$14)</f>
        <v>6000.0</v>
      </c>
      <c r="F91" s="1">
        <f>D91-E91</f>
        <v>-5000.0</v>
      </c>
      <c r="G91" s="1">
        <f>C91*F91</f>
        <v>-100000.0</v>
      </c>
      <c r="H91" s="1">
        <f>H90+G90</f>
        <v>30000.0</v>
      </c>
    </row>
    <row r="92" spans="1:8" ht="21" customHeight="1">
      <c r="A92" s="1">
        <f>'Entradas'!H12+IF('Entradas'!E12="HOT",-$A$10/2,$A$10/2)</f>
        <v>85.0</v>
      </c>
      <c r="B92" s="1">
        <f>LARGE($A$90:$A$97,3)</f>
        <v>185.0</v>
      </c>
      <c r="C92" s="1">
        <f>B92-B93</f>
        <v>20.0</v>
      </c>
      <c r="D92" s="1">
        <f>SUMPRODUCT(--('Entradas'!$E$11:$E$14="HOT"),--('Entradas'!$H$11:$H$14-$A$10/2&lt;=(B92+B93)/2),--('Entradas'!$I$11:$I$14-$A$10/2&gt;=(B92+B93)/2),'Entradas'!$B$11:$B$14)</f>
        <v>5000.0</v>
      </c>
      <c r="E92" s="1">
        <f>SUMPRODUCT(--('Entradas'!$E$11:$E$14="COLD"),--('Entradas'!$H$11:$H$14+$A$10/2&lt;=(B92+B93)/2),--('Entradas'!$I$11:$I$14+$A$10/2&gt;=(B92+B93)/2),'Entradas'!$B$11:$B$14)</f>
        <v>6000.0</v>
      </c>
      <c r="F92" s="1">
        <f>D92-E92</f>
        <v>-1000.0</v>
      </c>
      <c r="G92" s="1">
        <f>C92*F92</f>
        <v>-20000.0</v>
      </c>
      <c r="H92" s="1">
        <f>H91+G91</f>
        <v>-70000.0</v>
      </c>
    </row>
    <row r="93" spans="1:8" ht="21" customHeight="1">
      <c r="A93" s="1">
        <f>'Entradas'!I12+IF('Entradas'!E12="HOT",-$A$10/2,$A$10/2)</f>
        <v>185.0</v>
      </c>
      <c r="B93" s="1">
        <f>LARGE($A$90:$A$97,4)</f>
        <v>165.0</v>
      </c>
      <c r="C93" s="1">
        <f>B93-B94</f>
        <v>20.0</v>
      </c>
      <c r="D93" s="1">
        <f>SUMPRODUCT(--('Entradas'!$E$11:$E$14="HOT"),--('Entradas'!$H$11:$H$14-$A$10/2&lt;=(B93+B94)/2),--('Entradas'!$I$11:$I$14-$A$10/2&gt;=(B93+B94)/2),'Entradas'!$B$11:$B$14)</f>
        <v>5000.0</v>
      </c>
      <c r="E93" s="1">
        <f>SUMPRODUCT(--('Entradas'!$E$11:$E$14="COLD"),--('Entradas'!$H$11:$H$14+$A$10/2&lt;=(B93+B94)/2),--('Entradas'!$I$11:$I$14+$A$10/2&gt;=(B93+B94)/2),'Entradas'!$B$11:$B$14)</f>
        <v>9000.0</v>
      </c>
      <c r="F93" s="1">
        <f>D93-E93</f>
        <v>-4000.0</v>
      </c>
      <c r="G93" s="1">
        <f>C93*F93</f>
        <v>-80000.0</v>
      </c>
      <c r="H93" s="1">
        <f>H92+G92</f>
        <v>-90000.0</v>
      </c>
    </row>
    <row r="94" spans="1:8" ht="21" customHeight="1">
      <c r="A94" s="1">
        <f>'Entradas'!H13+IF('Entradas'!E13="HOT",-$A$10/2,$A$10/2)</f>
        <v>105.0</v>
      </c>
      <c r="B94" s="1">
        <f>LARGE($A$90:$A$97,5)</f>
        <v>145.0</v>
      </c>
      <c r="C94" s="1">
        <f>B94-B95</f>
        <v>40.0</v>
      </c>
      <c r="D94" s="1">
        <f>SUMPRODUCT(--('Entradas'!$E$11:$E$14="HOT"),--('Entradas'!$H$11:$H$14-$A$10/2&lt;=(B94+B95)/2),--('Entradas'!$I$11:$I$14-$A$10/2&gt;=(B94+B95)/2),'Entradas'!$B$11:$B$14)</f>
        <v>5000.0</v>
      </c>
      <c r="E94" s="1">
        <f>SUMPRODUCT(--('Entradas'!$E$11:$E$14="COLD"),--('Entradas'!$H$11:$H$14+$A$10/2&lt;=(B94+B95)/2),--('Entradas'!$I$11:$I$14+$A$10/2&gt;=(B94+B95)/2),'Entradas'!$B$11:$B$14)</f>
        <v>3000.0</v>
      </c>
      <c r="F94" s="1">
        <f>D94-E94</f>
        <v>2000.0</v>
      </c>
      <c r="G94" s="1">
        <f>C94*F94</f>
        <v>80000.0</v>
      </c>
      <c r="H94" s="1">
        <f>H93+G93</f>
        <v>-170000.0</v>
      </c>
    </row>
    <row r="95" spans="1:8" ht="21" customHeight="1">
      <c r="A95" s="1">
        <f>'Entradas'!I13+IF('Entradas'!E13="HOT",-$A$10/2,$A$10/2)</f>
        <v>165.0</v>
      </c>
      <c r="B95" s="1">
        <f>LARGE($A$90:$A$97,6)</f>
        <v>105.0</v>
      </c>
      <c r="C95" s="1">
        <f>B95-B96</f>
        <v>0.0</v>
      </c>
      <c r="D95" s="1">
        <f>SUMPRODUCT(--('Entradas'!$E$11:$E$14="HOT"),--('Entradas'!$H$11:$H$14-$A$10/2&lt;=(B95+B96)/2),--('Entradas'!$I$11:$I$14-$A$10/2&gt;=(B95+B96)/2),'Entradas'!$B$11:$B$14)</f>
        <v>5000.0</v>
      </c>
      <c r="E95" s="1">
        <f>SUMPRODUCT(--('Entradas'!$E$11:$E$14="COLD"),--('Entradas'!$H$11:$H$14+$A$10/2&lt;=(B95+B96)/2),--('Entradas'!$I$11:$I$14+$A$10/2&gt;=(B95+B96)/2),'Entradas'!$B$11:$B$14)</f>
        <v>3000.0</v>
      </c>
      <c r="F95" s="1">
        <f>D95-E95</f>
        <v>2000.0</v>
      </c>
      <c r="G95" s="1">
        <f>C95*F95</f>
        <v>0.0</v>
      </c>
      <c r="H95" s="1">
        <f>H94+G94</f>
        <v>-90000.0</v>
      </c>
    </row>
    <row r="96" spans="1:8" ht="21" customHeight="1">
      <c r="A96" s="1">
        <f>'Entradas'!H14+IF('Entradas'!E14="HOT",-$A$10/2,$A$10/2)</f>
        <v>145.0</v>
      </c>
      <c r="B96" s="1">
        <f>LARGE($A$90:$A$97,7)</f>
        <v>105.0</v>
      </c>
      <c r="C96" s="1">
        <f>B96-B97</f>
        <v>20.0</v>
      </c>
      <c r="D96" s="1">
        <f>SUMPRODUCT(--('Entradas'!$E$11:$E$14="HOT"),--('Entradas'!$H$11:$H$14-$A$10/2&lt;=(B96+B97)/2),--('Entradas'!$I$11:$I$14-$A$10/2&gt;=(B96+B97)/2),'Entradas'!$B$11:$B$14)</f>
        <v>4000.0</v>
      </c>
      <c r="E96" s="1">
        <f>SUMPRODUCT(--('Entradas'!$E$11:$E$14="COLD"),--('Entradas'!$H$11:$H$14+$A$10/2&lt;=(B96+B97)/2),--('Entradas'!$I$11:$I$14+$A$10/2&gt;=(B96+B97)/2),'Entradas'!$B$11:$B$14)</f>
        <v>0.0</v>
      </c>
      <c r="F96" s="1">
        <f>D96-E96</f>
        <v>4000.0</v>
      </c>
      <c r="G96" s="1">
        <f>C96*F96</f>
        <v>80000.0</v>
      </c>
      <c r="H96" s="1">
        <f>H95+G95</f>
        <v>-90000.0</v>
      </c>
    </row>
    <row r="97" spans="1:8" ht="21" customHeight="1">
      <c r="A97" s="1">
        <f>'Entradas'!I14+IF('Entradas'!E14="HOT",-$A$10/2,$A$10/2)</f>
        <v>205.0</v>
      </c>
      <c r="B97" s="1">
        <f>LARGE($A$90:$A$97,8)</f>
        <v>85.0</v>
      </c>
      <c r="H97" s="1">
        <f>H96+G96</f>
        <v>-10000.0</v>
      </c>
    </row>
    <row r="100" spans="1:8" ht="21" customHeight="1">
      <c r="A100" s="7" t="s">
        <v>297</v>
      </c>
      <c r="B100" s="7"/>
      <c r="C100" s="7"/>
      <c r="D100" s="7"/>
      <c r="E100" s="7"/>
      <c r="F100" s="7"/>
      <c r="G100" s="7"/>
      <c r="H100" s="7"/>
    </row>
    <row r="101" spans="1:8" ht="36" customHeight="1">
      <c r="A101" s="7" t="s">
        <v>23</v>
      </c>
      <c r="B101" s="7" t="s">
        <v>289</v>
      </c>
      <c r="C101" s="7" t="s">
        <v>25</v>
      </c>
      <c r="D101" s="7" t="s">
        <v>59</v>
      </c>
      <c r="E101" s="7" t="s">
        <v>60</v>
      </c>
      <c r="F101" s="7" t="s">
        <v>28</v>
      </c>
      <c r="G101" s="7" t="s">
        <v>290</v>
      </c>
      <c r="H101" s="7" t="s">
        <v>30</v>
      </c>
    </row>
    <row r="102" spans="1:8" ht="21" customHeight="1">
      <c r="A102" s="1">
        <f>'Entradas'!H11+IF('Entradas'!E11="HOT",-$A$11/2,$A$11/2)</f>
        <v>102.5</v>
      </c>
      <c r="B102" s="1">
        <f>LARGE($A$102:$A$109,1)</f>
        <v>232.5</v>
      </c>
      <c r="C102" s="1">
        <f>B102-B103</f>
        <v>25.0</v>
      </c>
      <c r="D102" s="1">
        <f>SUMPRODUCT(--('Entradas'!$E$11:$E$14="HOT"),--('Entradas'!$H$11:$H$14-$A$11/2&lt;=(B102+B103)/2),--('Entradas'!$I$11:$I$14-$A$11/2&gt;=(B102+B103)/2),'Entradas'!$B$11:$B$14)</f>
        <v>1000.0</v>
      </c>
      <c r="E102" s="1">
        <f>SUMPRODUCT(--('Entradas'!$E$11:$E$14="COLD"),--('Entradas'!$H$11:$H$14+$A$11/2&lt;=(B102+B103)/2),--('Entradas'!$I$11:$I$14+$A$11/2&gt;=(B102+B103)/2),'Entradas'!$B$11:$B$14)</f>
        <v>0.0</v>
      </c>
      <c r="F102" s="1">
        <f>D102-E102</f>
        <v>1000.0</v>
      </c>
      <c r="G102" s="1">
        <f>C102*F102</f>
        <v>25000.0</v>
      </c>
      <c r="H102" s="1">
        <f>0</f>
        <v>0.0</v>
      </c>
    </row>
    <row r="103" spans="1:8" ht="21" customHeight="1">
      <c r="A103" s="1">
        <f>'Entradas'!I11+IF('Entradas'!E11="HOT",-$A$11/2,$A$11/2)</f>
        <v>232.5</v>
      </c>
      <c r="B103" s="1">
        <f>LARGE($A$102:$A$109,2)</f>
        <v>207.5</v>
      </c>
      <c r="C103" s="1">
        <f>B103-B104</f>
        <v>25.0</v>
      </c>
      <c r="D103" s="1">
        <f>SUMPRODUCT(--('Entradas'!$E$11:$E$14="HOT"),--('Entradas'!$H$11:$H$14-$A$11/2&lt;=(B103+B104)/2),--('Entradas'!$I$11:$I$14-$A$11/2&gt;=(B103+B104)/2),'Entradas'!$B$11:$B$14)</f>
        <v>1000.0</v>
      </c>
      <c r="E103" s="1">
        <f>SUMPRODUCT(--('Entradas'!$E$11:$E$14="COLD"),--('Entradas'!$H$11:$H$14+$A$11/2&lt;=(B103+B104)/2),--('Entradas'!$I$11:$I$14+$A$11/2&gt;=(B103+B104)/2),'Entradas'!$B$11:$B$14)</f>
        <v>6000.0</v>
      </c>
      <c r="F103" s="1">
        <f>D103-E103</f>
        <v>-5000.0</v>
      </c>
      <c r="G103" s="1">
        <f>C103*F103</f>
        <v>-125000.0</v>
      </c>
      <c r="H103" s="1">
        <f>H102+G102</f>
        <v>25000.0</v>
      </c>
    </row>
    <row r="104" spans="1:8" ht="21" customHeight="1">
      <c r="A104" s="1">
        <f>'Entradas'!H12+IF('Entradas'!E12="HOT",-$A$11/2,$A$11/2)</f>
        <v>82.5</v>
      </c>
      <c r="B104" s="1">
        <f>LARGE($A$102:$A$109,3)</f>
        <v>182.5</v>
      </c>
      <c r="C104" s="1">
        <f>B104-B105</f>
        <v>15.0</v>
      </c>
      <c r="D104" s="1">
        <f>SUMPRODUCT(--('Entradas'!$E$11:$E$14="HOT"),--('Entradas'!$H$11:$H$14-$A$11/2&lt;=(B104+B105)/2),--('Entradas'!$I$11:$I$14-$A$11/2&gt;=(B104+B105)/2),'Entradas'!$B$11:$B$14)</f>
        <v>5000.0</v>
      </c>
      <c r="E104" s="1">
        <f>SUMPRODUCT(--('Entradas'!$E$11:$E$14="COLD"),--('Entradas'!$H$11:$H$14+$A$11/2&lt;=(B104+B105)/2),--('Entradas'!$I$11:$I$14+$A$11/2&gt;=(B104+B105)/2),'Entradas'!$B$11:$B$14)</f>
        <v>6000.0</v>
      </c>
      <c r="F104" s="1">
        <f>D104-E104</f>
        <v>-1000.0</v>
      </c>
      <c r="G104" s="1">
        <f>C104*F104</f>
        <v>-15000.0</v>
      </c>
      <c r="H104" s="1">
        <f>H103+G103</f>
        <v>-100000.0</v>
      </c>
    </row>
    <row r="105" spans="1:8" ht="21" customHeight="1">
      <c r="A105" s="1">
        <f>'Entradas'!I12+IF('Entradas'!E12="HOT",-$A$11/2,$A$11/2)</f>
        <v>182.5</v>
      </c>
      <c r="B105" s="1">
        <f>LARGE($A$102:$A$109,4)</f>
        <v>167.5</v>
      </c>
      <c r="C105" s="1">
        <f>B105-B106</f>
        <v>20.0</v>
      </c>
      <c r="D105" s="1">
        <f>SUMPRODUCT(--('Entradas'!$E$11:$E$14="HOT"),--('Entradas'!$H$11:$H$14-$A$11/2&lt;=(B105+B106)/2),--('Entradas'!$I$11:$I$14-$A$11/2&gt;=(B105+B106)/2),'Entradas'!$B$11:$B$14)</f>
        <v>5000.0</v>
      </c>
      <c r="E105" s="1">
        <f>SUMPRODUCT(--('Entradas'!$E$11:$E$14="COLD"),--('Entradas'!$H$11:$H$14+$A$11/2&lt;=(B105+B106)/2),--('Entradas'!$I$11:$I$14+$A$11/2&gt;=(B105+B106)/2),'Entradas'!$B$11:$B$14)</f>
        <v>9000.0</v>
      </c>
      <c r="F105" s="1">
        <f>D105-E105</f>
        <v>-4000.0</v>
      </c>
      <c r="G105" s="1">
        <f>C105*F105</f>
        <v>-80000.0</v>
      </c>
      <c r="H105" s="1">
        <f>H104+G104</f>
        <v>-115000.0</v>
      </c>
    </row>
    <row r="106" spans="1:8" ht="21" customHeight="1">
      <c r="A106" s="1">
        <f>'Entradas'!H13+IF('Entradas'!E13="HOT",-$A$11/2,$A$11/2)</f>
        <v>107.5</v>
      </c>
      <c r="B106" s="1">
        <f>LARGE($A$102:$A$109,5)</f>
        <v>147.5</v>
      </c>
      <c r="C106" s="1">
        <f>B106-B107</f>
        <v>40.0</v>
      </c>
      <c r="D106" s="1">
        <f>SUMPRODUCT(--('Entradas'!$E$11:$E$14="HOT"),--('Entradas'!$H$11:$H$14-$A$11/2&lt;=(B106+B107)/2),--('Entradas'!$I$11:$I$14-$A$11/2&gt;=(B106+B107)/2),'Entradas'!$B$11:$B$14)</f>
        <v>5000.0</v>
      </c>
      <c r="E106" s="1">
        <f>SUMPRODUCT(--('Entradas'!$E$11:$E$14="COLD"),--('Entradas'!$H$11:$H$14+$A$11/2&lt;=(B106+B107)/2),--('Entradas'!$I$11:$I$14+$A$11/2&gt;=(B106+B107)/2),'Entradas'!$B$11:$B$14)</f>
        <v>3000.0</v>
      </c>
      <c r="F106" s="1">
        <f>D106-E106</f>
        <v>2000.0</v>
      </c>
      <c r="G106" s="1">
        <f>C106*F106</f>
        <v>80000.0</v>
      </c>
      <c r="H106" s="1">
        <f>H105+G105</f>
        <v>-195000.0</v>
      </c>
    </row>
    <row r="107" spans="1:8" ht="21" customHeight="1">
      <c r="A107" s="1">
        <f>'Entradas'!I13+IF('Entradas'!E13="HOT",-$A$11/2,$A$11/2)</f>
        <v>167.5</v>
      </c>
      <c r="B107" s="1">
        <f>LARGE($A$102:$A$109,6)</f>
        <v>107.5</v>
      </c>
      <c r="C107" s="1">
        <f>B107-B108</f>
        <v>5.0</v>
      </c>
      <c r="D107" s="1">
        <f>SUMPRODUCT(--('Entradas'!$E$11:$E$14="HOT"),--('Entradas'!$H$11:$H$14-$A$11/2&lt;=(B107+B108)/2),--('Entradas'!$I$11:$I$14-$A$11/2&gt;=(B107+B108)/2),'Entradas'!$B$11:$B$14)</f>
        <v>5000.0</v>
      </c>
      <c r="E107" s="1">
        <f>SUMPRODUCT(--('Entradas'!$E$11:$E$14="COLD"),--('Entradas'!$H$11:$H$14+$A$11/2&lt;=(B107+B108)/2),--('Entradas'!$I$11:$I$14+$A$11/2&gt;=(B107+B108)/2),'Entradas'!$B$11:$B$14)</f>
        <v>0.0</v>
      </c>
      <c r="F107" s="1">
        <f>D107-E107</f>
        <v>5000.0</v>
      </c>
      <c r="G107" s="1">
        <f>C107*F107</f>
        <v>25000.0</v>
      </c>
      <c r="H107" s="1">
        <f>H106+G106</f>
        <v>-115000.0</v>
      </c>
    </row>
    <row r="108" spans="1:8" ht="21" customHeight="1">
      <c r="A108" s="1">
        <f>'Entradas'!H14+IF('Entradas'!E14="HOT",-$A$11/2,$A$11/2)</f>
        <v>147.5</v>
      </c>
      <c r="B108" s="1">
        <f>LARGE($A$102:$A$109,7)</f>
        <v>102.5</v>
      </c>
      <c r="C108" s="1">
        <f>B108-B109</f>
        <v>20.0</v>
      </c>
      <c r="D108" s="1">
        <f>SUMPRODUCT(--('Entradas'!$E$11:$E$14="HOT"),--('Entradas'!$H$11:$H$14-$A$11/2&lt;=(B108+B109)/2),--('Entradas'!$I$11:$I$14-$A$11/2&gt;=(B108+B109)/2),'Entradas'!$B$11:$B$14)</f>
        <v>4000.0</v>
      </c>
      <c r="E108" s="1">
        <f>SUMPRODUCT(--('Entradas'!$E$11:$E$14="COLD"),--('Entradas'!$H$11:$H$14+$A$11/2&lt;=(B108+B109)/2),--('Entradas'!$I$11:$I$14+$A$11/2&gt;=(B108+B109)/2),'Entradas'!$B$11:$B$14)</f>
        <v>0.0</v>
      </c>
      <c r="F108" s="1">
        <f>D108-E108</f>
        <v>4000.0</v>
      </c>
      <c r="G108" s="1">
        <f>C108*F108</f>
        <v>80000.0</v>
      </c>
      <c r="H108" s="1">
        <f>H107+G107</f>
        <v>-90000.0</v>
      </c>
    </row>
    <row r="109" spans="1:8" ht="21" customHeight="1">
      <c r="A109" s="1">
        <f>'Entradas'!I14+IF('Entradas'!E14="HOT",-$A$11/2,$A$11/2)</f>
        <v>207.5</v>
      </c>
      <c r="B109" s="1">
        <f>LARGE($A$102:$A$109,8)</f>
        <v>82.5</v>
      </c>
      <c r="H109" s="1">
        <f>H108+G108</f>
        <v>-10000.0</v>
      </c>
    </row>
    <row r="112" spans="1:8" ht="21" customHeight="1">
      <c r="A112" s="7" t="s">
        <v>298</v>
      </c>
      <c r="B112" s="7"/>
      <c r="C112" s="7"/>
      <c r="D112" s="7"/>
      <c r="E112" s="7"/>
      <c r="F112" s="7"/>
      <c r="G112" s="7"/>
      <c r="H112" s="7"/>
    </row>
    <row r="113" spans="1:8" ht="36" customHeight="1">
      <c r="A113" s="7" t="s">
        <v>23</v>
      </c>
      <c r="B113" s="7" t="s">
        <v>289</v>
      </c>
      <c r="C113" s="7" t="s">
        <v>25</v>
      </c>
      <c r="D113" s="7" t="s">
        <v>59</v>
      </c>
      <c r="E113" s="7" t="s">
        <v>60</v>
      </c>
      <c r="F113" s="7" t="s">
        <v>28</v>
      </c>
      <c r="G113" s="7" t="s">
        <v>290</v>
      </c>
      <c r="H113" s="7" t="s">
        <v>30</v>
      </c>
    </row>
    <row r="114" spans="1:8" ht="21" customHeight="1">
      <c r="A114" s="1">
        <f>'Entradas'!H11+IF('Entradas'!E11="HOT",-$A$12/2,$A$12/2)</f>
        <v>100.0</v>
      </c>
      <c r="B114" s="1">
        <f>LARGE($A$114:$A$121,1)</f>
        <v>230.0</v>
      </c>
      <c r="C114" s="1">
        <f>B114-B115</f>
        <v>20.0</v>
      </c>
      <c r="D114" s="1">
        <f>SUMPRODUCT(--('Entradas'!$E$11:$E$14="HOT"),--('Entradas'!$H$11:$H$14-$A$12/2&lt;=(B114+B115)/2),--('Entradas'!$I$11:$I$14-$A$12/2&gt;=(B114+B115)/2),'Entradas'!$B$11:$B$14)</f>
        <v>1000.0</v>
      </c>
      <c r="E114" s="1">
        <f>SUMPRODUCT(--('Entradas'!$E$11:$E$14="COLD"),--('Entradas'!$H$11:$H$14+$A$12/2&lt;=(B114+B115)/2),--('Entradas'!$I$11:$I$14+$A$12/2&gt;=(B114+B115)/2),'Entradas'!$B$11:$B$14)</f>
        <v>0.0</v>
      </c>
      <c r="F114" s="1">
        <f>D114-E114</f>
        <v>1000.0</v>
      </c>
      <c r="G114" s="1">
        <f>C114*F114</f>
        <v>20000.0</v>
      </c>
      <c r="H114" s="1">
        <f>0</f>
        <v>0.0</v>
      </c>
    </row>
    <row r="115" spans="1:8" ht="21" customHeight="1">
      <c r="A115" s="1">
        <f>'Entradas'!I11+IF('Entradas'!E11="HOT",-$A$12/2,$A$12/2)</f>
        <v>230.0</v>
      </c>
      <c r="B115" s="1">
        <f>LARGE($A$114:$A$121,2)</f>
        <v>210.0</v>
      </c>
      <c r="C115" s="1">
        <f>B115-B116</f>
        <v>30.0</v>
      </c>
      <c r="D115" s="1">
        <f>SUMPRODUCT(--('Entradas'!$E$11:$E$14="HOT"),--('Entradas'!$H$11:$H$14-$A$12/2&lt;=(B115+B116)/2),--('Entradas'!$I$11:$I$14-$A$12/2&gt;=(B115+B116)/2),'Entradas'!$B$11:$B$14)</f>
        <v>1000.0</v>
      </c>
      <c r="E115" s="1">
        <f>SUMPRODUCT(--('Entradas'!$E$11:$E$14="COLD"),--('Entradas'!$H$11:$H$14+$A$12/2&lt;=(B115+B116)/2),--('Entradas'!$I$11:$I$14+$A$12/2&gt;=(B115+B116)/2),'Entradas'!$B$11:$B$14)</f>
        <v>6000.0</v>
      </c>
      <c r="F115" s="1">
        <f>D115-E115</f>
        <v>-5000.0</v>
      </c>
      <c r="G115" s="1">
        <f>C115*F115</f>
        <v>-150000.0</v>
      </c>
      <c r="H115" s="1">
        <f>H114+G114</f>
        <v>20000.0</v>
      </c>
    </row>
    <row r="116" spans="1:8" ht="21" customHeight="1">
      <c r="A116" s="1">
        <f>'Entradas'!H12+IF('Entradas'!E12="HOT",-$A$12/2,$A$12/2)</f>
        <v>80.0</v>
      </c>
      <c r="B116" s="1">
        <f>LARGE($A$114:$A$121,3)</f>
        <v>180.0</v>
      </c>
      <c r="C116" s="1">
        <f>B116-B117</f>
        <v>10.0</v>
      </c>
      <c r="D116" s="1">
        <f>SUMPRODUCT(--('Entradas'!$E$11:$E$14="HOT"),--('Entradas'!$H$11:$H$14-$A$12/2&lt;=(B116+B117)/2),--('Entradas'!$I$11:$I$14-$A$12/2&gt;=(B116+B117)/2),'Entradas'!$B$11:$B$14)</f>
        <v>5000.0</v>
      </c>
      <c r="E116" s="1">
        <f>SUMPRODUCT(--('Entradas'!$E$11:$E$14="COLD"),--('Entradas'!$H$11:$H$14+$A$12/2&lt;=(B116+B117)/2),--('Entradas'!$I$11:$I$14+$A$12/2&gt;=(B116+B117)/2),'Entradas'!$B$11:$B$14)</f>
        <v>6000.0</v>
      </c>
      <c r="F116" s="1">
        <f>D116-E116</f>
        <v>-1000.0</v>
      </c>
      <c r="G116" s="1">
        <f>C116*F116</f>
        <v>-10000.0</v>
      </c>
      <c r="H116" s="1">
        <f>H115+G115</f>
        <v>-130000.0</v>
      </c>
    </row>
    <row r="117" spans="1:8" ht="21" customHeight="1">
      <c r="A117" s="1">
        <f>'Entradas'!I12+IF('Entradas'!E12="HOT",-$A$12/2,$A$12/2)</f>
        <v>180.0</v>
      </c>
      <c r="B117" s="1">
        <f>LARGE($A$114:$A$121,4)</f>
        <v>170.0</v>
      </c>
      <c r="C117" s="1">
        <f>B117-B118</f>
        <v>20.0</v>
      </c>
      <c r="D117" s="1">
        <f>SUMPRODUCT(--('Entradas'!$E$11:$E$14="HOT"),--('Entradas'!$H$11:$H$14-$A$12/2&lt;=(B117+B118)/2),--('Entradas'!$I$11:$I$14-$A$12/2&gt;=(B117+B118)/2),'Entradas'!$B$11:$B$14)</f>
        <v>5000.0</v>
      </c>
      <c r="E117" s="1">
        <f>SUMPRODUCT(--('Entradas'!$E$11:$E$14="COLD"),--('Entradas'!$H$11:$H$14+$A$12/2&lt;=(B117+B118)/2),--('Entradas'!$I$11:$I$14+$A$12/2&gt;=(B117+B118)/2),'Entradas'!$B$11:$B$14)</f>
        <v>9000.0</v>
      </c>
      <c r="F117" s="1">
        <f>D117-E117</f>
        <v>-4000.0</v>
      </c>
      <c r="G117" s="1">
        <f>C117*F117</f>
        <v>-80000.0</v>
      </c>
      <c r="H117" s="1">
        <f>H116+G116</f>
        <v>-140000.0</v>
      </c>
    </row>
    <row r="118" spans="1:8" ht="21" customHeight="1">
      <c r="A118" s="1">
        <f>'Entradas'!H13+IF('Entradas'!E13="HOT",-$A$12/2,$A$12/2)</f>
        <v>110.0</v>
      </c>
      <c r="B118" s="1">
        <f>LARGE($A$114:$A$121,5)</f>
        <v>150.0</v>
      </c>
      <c r="C118" s="1">
        <f>B118-B119</f>
        <v>40.0</v>
      </c>
      <c r="D118" s="1">
        <f>SUMPRODUCT(--('Entradas'!$E$11:$E$14="HOT"),--('Entradas'!$H$11:$H$14-$A$12/2&lt;=(B118+B119)/2),--('Entradas'!$I$11:$I$14-$A$12/2&gt;=(B118+B119)/2),'Entradas'!$B$11:$B$14)</f>
        <v>5000.0</v>
      </c>
      <c r="E118" s="1">
        <f>SUMPRODUCT(--('Entradas'!$E$11:$E$14="COLD"),--('Entradas'!$H$11:$H$14+$A$12/2&lt;=(B118+B119)/2),--('Entradas'!$I$11:$I$14+$A$12/2&gt;=(B118+B119)/2),'Entradas'!$B$11:$B$14)</f>
        <v>3000.0</v>
      </c>
      <c r="F118" s="1">
        <f>D118-E118</f>
        <v>2000.0</v>
      </c>
      <c r="G118" s="1">
        <f>C118*F118</f>
        <v>80000.0</v>
      </c>
      <c r="H118" s="1">
        <f>H117+G117</f>
        <v>-220000.0</v>
      </c>
    </row>
    <row r="119" spans="1:8" ht="21" customHeight="1">
      <c r="A119" s="1">
        <f>'Entradas'!I13+IF('Entradas'!E13="HOT",-$A$12/2,$A$12/2)</f>
        <v>170.0</v>
      </c>
      <c r="B119" s="1">
        <f>LARGE($A$114:$A$121,6)</f>
        <v>110.0</v>
      </c>
      <c r="C119" s="1">
        <f>B119-B120</f>
        <v>10.0</v>
      </c>
      <c r="D119" s="1">
        <f>SUMPRODUCT(--('Entradas'!$E$11:$E$14="HOT"),--('Entradas'!$H$11:$H$14-$A$12/2&lt;=(B119+B120)/2),--('Entradas'!$I$11:$I$14-$A$12/2&gt;=(B119+B120)/2),'Entradas'!$B$11:$B$14)</f>
        <v>5000.0</v>
      </c>
      <c r="E119" s="1">
        <f>SUMPRODUCT(--('Entradas'!$E$11:$E$14="COLD"),--('Entradas'!$H$11:$H$14+$A$12/2&lt;=(B119+B120)/2),--('Entradas'!$I$11:$I$14+$A$12/2&gt;=(B119+B120)/2),'Entradas'!$B$11:$B$14)</f>
        <v>0.0</v>
      </c>
      <c r="F119" s="1">
        <f>D119-E119</f>
        <v>5000.0</v>
      </c>
      <c r="G119" s="1">
        <f>C119*F119</f>
        <v>50000.0</v>
      </c>
      <c r="H119" s="1">
        <f>H118+G118</f>
        <v>-140000.0</v>
      </c>
    </row>
    <row r="120" spans="1:8" ht="21" customHeight="1">
      <c r="A120" s="1">
        <f>'Entradas'!H14+IF('Entradas'!E14="HOT",-$A$12/2,$A$12/2)</f>
        <v>150.0</v>
      </c>
      <c r="B120" s="1">
        <f>LARGE($A$114:$A$121,7)</f>
        <v>100.0</v>
      </c>
      <c r="C120" s="1">
        <f>B120-B121</f>
        <v>20.0</v>
      </c>
      <c r="D120" s="1">
        <f>SUMPRODUCT(--('Entradas'!$E$11:$E$14="HOT"),--('Entradas'!$H$11:$H$14-$A$12/2&lt;=(B120+B121)/2),--('Entradas'!$I$11:$I$14-$A$12/2&gt;=(B120+B121)/2),'Entradas'!$B$11:$B$14)</f>
        <v>4000.0</v>
      </c>
      <c r="E120" s="1">
        <f>SUMPRODUCT(--('Entradas'!$E$11:$E$14="COLD"),--('Entradas'!$H$11:$H$14+$A$12/2&lt;=(B120+B121)/2),--('Entradas'!$I$11:$I$14+$A$12/2&gt;=(B120+B121)/2),'Entradas'!$B$11:$B$14)</f>
        <v>0.0</v>
      </c>
      <c r="F120" s="1">
        <f>D120-E120</f>
        <v>4000.0</v>
      </c>
      <c r="G120" s="1">
        <f>C120*F120</f>
        <v>80000.0</v>
      </c>
      <c r="H120" s="1">
        <f>H119+G119</f>
        <v>-90000.0</v>
      </c>
    </row>
    <row r="121" spans="1:8" ht="21" customHeight="1">
      <c r="A121" s="1">
        <f>'Entradas'!I14+IF('Entradas'!E14="HOT",-$A$12/2,$A$12/2)</f>
        <v>210.0</v>
      </c>
      <c r="B121" s="1">
        <f>LARGE($A$114:$A$121,8)</f>
        <v>80.0</v>
      </c>
      <c r="H121" s="1">
        <f>H120+G120</f>
        <v>-10000.0</v>
      </c>
    </row>
  </sheetData>
  <mergeCells count="11">
    <mergeCell ref="A1:J1"/>
    <mergeCell ref="A2:J2"/>
    <mergeCell ref="A16:H16"/>
    <mergeCell ref="A28:H28"/>
    <mergeCell ref="A40:H40"/>
    <mergeCell ref="A52:H52"/>
    <mergeCell ref="A64:H64"/>
    <mergeCell ref="A76:H76"/>
    <mergeCell ref="A88:H88"/>
    <mergeCell ref="A100:H100"/>
    <mergeCell ref="A112:H112"/>
  </mergeCells>
  <dataValidations count="1">
    <dataValidation type="decimal" operator="greaterThanOrEqual" showInputMessage="1" showErrorMessage="1" sqref="A4:A12">
      <formula1>0</formula1>
    </dataValidation>
  </dataValidations>
  <pageMargins left="0.3" right="0.3" top="0.4" bottom="0.4" header="0.3" footer="0.3"/>
  <pageSetup paperSize="9" fitToHeight="0" orientation="landscape"/>
  <headerFooter>
    <oddFooter>&amp;LPinch Lab&amp;RPágina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A8B8CA"/>
    <pageSetUpPr fitToPage="1"/>
  </sheetPr>
  <dimension ref="A1:AE38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1" customHeight="1"/>
  <cols>
    <col min="1" max="1" width="27.7109375" customWidth="1"/>
    <col min="2" max="8" width="15.7109375" customWidth="1"/>
    <col min="9" max="31" width="15.7109375" style="1" customWidth="1"/>
  </cols>
  <sheetData>
    <row r="1" spans="1:10" ht="35" customHeight="1">
      <c r="A1" s="2" t="s">
        <v>323</v>
      </c>
      <c r="B1" s="2"/>
      <c r="C1" s="2"/>
      <c r="D1" s="2"/>
      <c r="E1" s="2"/>
      <c r="F1" s="2"/>
      <c r="G1" s="2"/>
      <c r="H1" s="2"/>
      <c r="I1" s="2"/>
      <c r="J1" s="2"/>
    </row>
    <row r="2" spans="1:10" ht="33" customHeight="1">
      <c r="A2" s="3" t="s">
        <v>324</v>
      </c>
      <c r="B2" s="3"/>
      <c r="C2" s="3"/>
      <c r="D2" s="3"/>
      <c r="E2" s="3"/>
      <c r="F2" s="3"/>
      <c r="G2" s="3"/>
      <c r="H2" s="3"/>
      <c r="I2" s="3"/>
      <c r="J2" s="3"/>
    </row>
    <row r="4" spans="1:10" ht="25" customHeight="1">
      <c r="A4" s="7" t="s">
        <v>325</v>
      </c>
      <c r="B4" s="3" t="s">
        <v>326</v>
      </c>
      <c r="C4" s="3"/>
      <c r="D4" s="3"/>
      <c r="E4" s="3"/>
      <c r="F4" s="3"/>
      <c r="G4" s="3"/>
      <c r="H4" s="3"/>
    </row>
    <row r="5" spans="1:10" ht="25" customHeight="1">
      <c r="A5" s="7"/>
      <c r="B5" s="3"/>
      <c r="C5" s="3"/>
      <c r="D5" s="3"/>
      <c r="E5" s="3"/>
      <c r="F5" s="3"/>
      <c r="G5" s="3"/>
      <c r="H5" s="3"/>
    </row>
    <row r="7" spans="1:10" ht="25" customHeight="1">
      <c r="A7" s="7" t="s">
        <v>327</v>
      </c>
      <c r="B7" s="3" t="s">
        <v>328</v>
      </c>
      <c r="C7" s="3"/>
      <c r="D7" s="3"/>
      <c r="E7" s="3"/>
      <c r="F7" s="3"/>
      <c r="G7" s="3"/>
      <c r="H7" s="3"/>
    </row>
    <row r="8" spans="1:10" ht="25" customHeight="1">
      <c r="A8" s="7"/>
      <c r="B8" s="3"/>
      <c r="C8" s="3"/>
      <c r="D8" s="3"/>
      <c r="E8" s="3"/>
      <c r="F8" s="3"/>
      <c r="G8" s="3"/>
      <c r="H8" s="3"/>
    </row>
    <row r="10" spans="1:10" ht="25" customHeight="1">
      <c r="A10" s="7" t="s">
        <v>329</v>
      </c>
      <c r="B10" s="3" t="s">
        <v>330</v>
      </c>
      <c r="C10" s="3"/>
      <c r="D10" s="3"/>
      <c r="E10" s="3"/>
      <c r="F10" s="3"/>
      <c r="G10" s="3"/>
      <c r="H10" s="3"/>
    </row>
    <row r="11" spans="1:10" ht="25" customHeight="1">
      <c r="A11" s="7"/>
      <c r="B11" s="3"/>
      <c r="C11" s="3"/>
      <c r="D11" s="3"/>
      <c r="E11" s="3"/>
      <c r="F11" s="3"/>
      <c r="G11" s="3"/>
      <c r="H11" s="3"/>
    </row>
    <row r="13" spans="1:10" ht="25" customHeight="1">
      <c r="A13" s="7" t="s">
        <v>331</v>
      </c>
      <c r="B13" s="3" t="s">
        <v>332</v>
      </c>
      <c r="C13" s="3"/>
      <c r="D13" s="3"/>
      <c r="E13" s="3"/>
      <c r="F13" s="3"/>
      <c r="G13" s="3"/>
      <c r="H13" s="3"/>
    </row>
    <row r="14" spans="1:10" ht="25" customHeight="1">
      <c r="A14" s="7"/>
      <c r="B14" s="3"/>
      <c r="C14" s="3"/>
      <c r="D14" s="3"/>
      <c r="E14" s="3"/>
      <c r="F14" s="3"/>
      <c r="G14" s="3"/>
      <c r="H14" s="3"/>
    </row>
    <row r="16" spans="1:10" ht="25" customHeight="1">
      <c r="A16" s="7" t="s">
        <v>333</v>
      </c>
      <c r="B16" s="3" t="s">
        <v>334</v>
      </c>
      <c r="C16" s="3"/>
      <c r="D16" s="3"/>
      <c r="E16" s="3"/>
      <c r="F16" s="3"/>
      <c r="G16" s="3"/>
      <c r="H16" s="3"/>
    </row>
    <row r="17" spans="1:8" ht="25" customHeight="1">
      <c r="A17" s="7"/>
      <c r="B17" s="3"/>
      <c r="C17" s="3"/>
      <c r="D17" s="3"/>
      <c r="E17" s="3"/>
      <c r="F17" s="3"/>
      <c r="G17" s="3"/>
      <c r="H17" s="3"/>
    </row>
    <row r="19" spans="1:8" ht="25" customHeight="1">
      <c r="A19" s="7" t="s">
        <v>335</v>
      </c>
      <c r="B19" s="3" t="s">
        <v>336</v>
      </c>
      <c r="C19" s="3"/>
      <c r="D19" s="3"/>
      <c r="E19" s="3"/>
      <c r="F19" s="3"/>
      <c r="G19" s="3"/>
      <c r="H19" s="3"/>
    </row>
    <row r="20" spans="1:8" ht="25" customHeight="1">
      <c r="A20" s="7"/>
      <c r="B20" s="3"/>
      <c r="C20" s="3"/>
      <c r="D20" s="3"/>
      <c r="E20" s="3"/>
      <c r="F20" s="3"/>
      <c r="G20" s="3"/>
      <c r="H20" s="3"/>
    </row>
    <row r="22" spans="1:8" ht="25" customHeight="1">
      <c r="A22" s="7" t="s">
        <v>337</v>
      </c>
      <c r="B22" s="3" t="s">
        <v>338</v>
      </c>
      <c r="C22" s="3"/>
      <c r="D22" s="3"/>
      <c r="E22" s="3"/>
      <c r="F22" s="3"/>
      <c r="G22" s="3"/>
      <c r="H22" s="3"/>
    </row>
    <row r="23" spans="1:8" ht="25" customHeight="1">
      <c r="A23" s="7"/>
      <c r="B23" s="3"/>
      <c r="C23" s="3"/>
      <c r="D23" s="3"/>
      <c r="E23" s="3"/>
      <c r="F23" s="3"/>
      <c r="G23" s="3"/>
      <c r="H23" s="3"/>
    </row>
    <row r="25" spans="1:8" ht="25" customHeight="1">
      <c r="A25" s="7" t="s">
        <v>339</v>
      </c>
      <c r="B25" s="3" t="s">
        <v>340</v>
      </c>
      <c r="C25" s="3"/>
      <c r="D25" s="3"/>
      <c r="E25" s="3"/>
      <c r="F25" s="3"/>
      <c r="G25" s="3"/>
      <c r="H25" s="3"/>
    </row>
    <row r="26" spans="1:8" ht="25" customHeight="1">
      <c r="A26" s="7"/>
      <c r="B26" s="3"/>
      <c r="C26" s="3"/>
      <c r="D26" s="3"/>
      <c r="E26" s="3"/>
      <c r="F26" s="3"/>
      <c r="G26" s="3"/>
      <c r="H26" s="3"/>
    </row>
    <row r="28" spans="1:8" ht="25" customHeight="1">
      <c r="A28" s="7" t="s">
        <v>341</v>
      </c>
      <c r="B28" s="3" t="s">
        <v>342</v>
      </c>
      <c r="C28" s="3"/>
      <c r="D28" s="3"/>
      <c r="E28" s="3"/>
      <c r="F28" s="3"/>
      <c r="G28" s="3"/>
      <c r="H28" s="3"/>
    </row>
    <row r="29" spans="1:8" ht="25" customHeight="1">
      <c r="A29" s="7"/>
      <c r="B29" s="3"/>
      <c r="C29" s="3"/>
      <c r="D29" s="3"/>
      <c r="E29" s="3"/>
      <c r="F29" s="3"/>
      <c r="G29" s="3"/>
      <c r="H29" s="3"/>
    </row>
    <row r="31" spans="1:8" ht="25" customHeight="1">
      <c r="A31" s="7" t="s">
        <v>343</v>
      </c>
      <c r="B31" s="3" t="s">
        <v>344</v>
      </c>
      <c r="C31" s="3"/>
      <c r="D31" s="3"/>
      <c r="E31" s="3"/>
      <c r="F31" s="3"/>
      <c r="G31" s="3"/>
      <c r="H31" s="3"/>
    </row>
    <row r="32" spans="1:8" ht="25" customHeight="1">
      <c r="A32" s="7"/>
      <c r="B32" s="3"/>
      <c r="C32" s="3"/>
      <c r="D32" s="3"/>
      <c r="E32" s="3"/>
      <c r="F32" s="3"/>
      <c r="G32" s="3"/>
      <c r="H32" s="3"/>
    </row>
    <row r="34" spans="1:8" ht="25" customHeight="1">
      <c r="A34" s="7" t="s">
        <v>345</v>
      </c>
      <c r="B34" s="3" t="s">
        <v>346</v>
      </c>
      <c r="C34" s="3"/>
      <c r="D34" s="3"/>
      <c r="E34" s="3"/>
      <c r="F34" s="3"/>
      <c r="G34" s="3"/>
      <c r="H34" s="3"/>
    </row>
    <row r="35" spans="1:8" ht="25" customHeight="1">
      <c r="A35" s="7"/>
      <c r="B35" s="3"/>
      <c r="C35" s="3"/>
      <c r="D35" s="3"/>
      <c r="E35" s="3"/>
      <c r="F35" s="3"/>
      <c r="G35" s="3"/>
      <c r="H35" s="3"/>
    </row>
    <row r="37" spans="1:8" ht="25" customHeight="1">
      <c r="A37" s="7" t="s">
        <v>347</v>
      </c>
      <c r="B37" s="3" t="s">
        <v>348</v>
      </c>
      <c r="C37" s="3"/>
      <c r="D37" s="3"/>
      <c r="E37" s="3"/>
      <c r="F37" s="3"/>
      <c r="G37" s="3"/>
      <c r="H37" s="3"/>
    </row>
    <row r="38" spans="1:8" ht="25" customHeight="1">
      <c r="A38" s="7"/>
      <c r="B38" s="3"/>
      <c r="C38" s="3"/>
      <c r="D38" s="3"/>
      <c r="E38" s="3"/>
      <c r="F38" s="3"/>
      <c r="G38" s="3"/>
      <c r="H38" s="3"/>
    </row>
  </sheetData>
  <mergeCells count="26">
    <mergeCell ref="A1:J1"/>
    <mergeCell ref="A2:J2"/>
    <mergeCell ref="A4:A5"/>
    <mergeCell ref="B4:H5"/>
    <mergeCell ref="A7:A8"/>
    <mergeCell ref="B7:H8"/>
    <mergeCell ref="A10:A11"/>
    <mergeCell ref="B10:H11"/>
    <mergeCell ref="A13:A14"/>
    <mergeCell ref="B13:H14"/>
    <mergeCell ref="A16:A17"/>
    <mergeCell ref="B16:H17"/>
    <mergeCell ref="A19:A20"/>
    <mergeCell ref="B19:H20"/>
    <mergeCell ref="A22:A23"/>
    <mergeCell ref="B22:H23"/>
    <mergeCell ref="A25:A26"/>
    <mergeCell ref="B25:H26"/>
    <mergeCell ref="A28:A29"/>
    <mergeCell ref="B28:H29"/>
    <mergeCell ref="A31:A32"/>
    <mergeCell ref="B31:H32"/>
    <mergeCell ref="A34:A35"/>
    <mergeCell ref="B34:H35"/>
    <mergeCell ref="A37:A38"/>
    <mergeCell ref="B37:H38"/>
  </mergeCells>
  <pageMargins left="0.3" right="0.3" top="0.4" bottom="0.4" header="0.3" footer="0.3"/>
  <pageSetup paperSize="9" fitToHeight="0" orientation="landscape"/>
  <headerFooter>
    <oddFooter>&amp;LPinch Lab&amp;RPágina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Resumen</vt:lpstr>
      <vt:lpstr>Entradas</vt:lpstr>
      <vt:lpstr>Matriz_Q</vt:lpstr>
      <vt:lpstr>Equipos</vt:lpstr>
      <vt:lpstr>Cascada</vt:lpstr>
      <vt:lpstr>Compuestas</vt:lpstr>
      <vt:lpstr>Tramos_red</vt:lpstr>
      <vt:lpstr>Sensibilidad</vt:lpstr>
      <vt:lpstr>Guia</vt:lpstr>
      <vt:lpstr>Cascada!Print_Area</vt:lpstr>
      <vt:lpstr>Compuestas!Print_Area</vt:lpstr>
      <vt:lpstr>Entradas!Print_Area</vt:lpstr>
      <vt:lpstr>Equipos!Print_Area</vt:lpstr>
      <vt:lpstr>Guia!Print_Area</vt:lpstr>
      <vt:lpstr>Matriz_Q!Print_Area</vt:lpstr>
      <vt:lpstr>Resumen!Print_Area</vt:lpstr>
      <vt:lpstr>Sensibilidad!Print_Area</vt:lpstr>
      <vt:lpstr>Tramos_red!Print_Area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Pinch Lab · Integración energética</dc:title>
  <dc:creator>Carlos Galán</dc:creator>
  <dc:description>Modelo reproducible en Python. Datos iniciales: diapositivas UPC 27 y 30.</dc:description>
  <cp:lastModifiedBy>Carlos Galán</cp:lastModifiedBy>
  <dcterms:created xsi:type="dcterms:W3CDTF">2026-09-24T11:00:03Z</dcterms:created>
  <dcterms:modified xsi:type="dcterms:W3CDTF">2026-09-24T11:00:03Z</dcterms:modified>
</cp:coreProperties>
</file>